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6.xml" ContentType="application/vnd.openxmlformats-officedocument.spreadsheetml.table+xml"/>
  <Override PartName="/xl/comments1.xml" ContentType="application/vnd.openxmlformats-officedocument.spreadsheetml.comments+xml"/>
  <Override PartName="/xl/pivotTables/pivotTable13.xml" ContentType="application/vnd.openxmlformats-officedocument.spreadsheetml.pivotTable+xml"/>
  <Override PartName="/xl/drawings/drawing9.xml" ContentType="application/vnd.openxmlformats-officedocument.drawing+xml"/>
  <Override PartName="/xl/tables/table7.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Nti\Week 4\Day 4\"/>
    </mc:Choice>
  </mc:AlternateContent>
  <xr:revisionPtr revIDLastSave="0" documentId="8_{C0E86B53-AD11-4187-98CC-585054ACE213}" xr6:coauthVersionLast="47" xr6:coauthVersionMax="47" xr10:uidLastSave="{00000000-0000-0000-0000-000000000000}"/>
  <bookViews>
    <workbookView xWindow="-120" yWindow="-120" windowWidth="29040" windowHeight="17520" tabRatio="712" firstSheet="9" activeTab="15" xr2:uid="{31340DB3-6AF8-41EE-83A7-7D436FC16C63}"/>
  </bookViews>
  <sheets>
    <sheet name="Sheet10" sheetId="22" r:id="rId1"/>
    <sheet name="Sheet11" sheetId="23" r:id="rId2"/>
    <sheet name="EnergyData" sheetId="1" r:id="rId3"/>
    <sheet name="Sheet5" sheetId="17" r:id="rId4"/>
    <sheet name="Sheet6" sheetId="18" r:id="rId5"/>
    <sheet name="Sheet7" sheetId="19" r:id="rId6"/>
    <sheet name="Sheet9" sheetId="21" r:id="rId7"/>
    <sheet name="Egypt_KPI" sheetId="2" r:id="rId8"/>
    <sheet name="ELC Prod. , Demand" sheetId="6" r:id="rId9"/>
    <sheet name="Gas Prod. , Con." sheetId="7" r:id="rId10"/>
    <sheet name="Oil Prod. , Con." sheetId="11" r:id="rId11"/>
    <sheet name="Sheet12" sheetId="24" r:id="rId12"/>
    <sheet name="Trade_Analysis" sheetId="3" r:id="rId13"/>
    <sheet name="Electricity_Prices" sheetId="4" r:id="rId14"/>
    <sheet name="Electricity Price History" sheetId="5" r:id="rId15"/>
    <sheet name="Dashboard" sheetId="12" r:id="rId16"/>
  </sheets>
  <externalReferences>
    <externalReference r:id="rId17"/>
  </externalReferences>
  <definedNames>
    <definedName name="_xlchart.v1.0" hidden="1">Trade_Analysis!$B$30:$B$45</definedName>
    <definedName name="_xlchart.v1.1" hidden="1">Trade_Analysis!$C$30:$C$45</definedName>
    <definedName name="_xlchart.v1.2" hidden="1">Trade_Analysis!$B$30:$B$45</definedName>
    <definedName name="_xlchart.v1.3" hidden="1">Trade_Analysis!$C$30:$C$45</definedName>
    <definedName name="_xlchart.v1.4" hidden="1">Trade_Analysis!$B$30:$B$45</definedName>
    <definedName name="_xlchart.v1.5" hidden="1">Trade_Analysis!$C$30:$C$45</definedName>
    <definedName name="_xlchart.v1.6" hidden="1">Trade_Analysis!$B$30:$B$45</definedName>
    <definedName name="_xlchart.v1.7" hidden="1">Trade_Analysis!$C$30:$C$45</definedName>
    <definedName name="_xlchart.v1.8" hidden="1">Trade_Analysis!$B$30:$B$45</definedName>
    <definedName name="_xlchart.v1.9" hidden="1">Trade_Analysis!$C$30:$C$45</definedName>
    <definedName name="_xlcn.WorksheetConnection_Egypt_Energy_Project5.xlsxTable11" hidden="1">Table1[]</definedName>
    <definedName name="_xlcn.WorksheetConnection_Egypt_Energy_Project5.xlsxTable31" hidden="1">Table3[]</definedName>
    <definedName name="_xlcn.WorksheetConnection_Egypt_Energy_Project5.xlsxTable61" hidden="1">Table6[]</definedName>
    <definedName name="Slicer_country">#N/A</definedName>
    <definedName name="Slicer_year">#N/A</definedName>
    <definedName name="Slicer_year1">#N/A</definedName>
  </definedNames>
  <calcPr calcId="191029" iterateDelta="1E-4"/>
  <pivotCaches>
    <pivotCache cacheId="24" r:id="rId18"/>
    <pivotCache cacheId="48" r:id="rId19"/>
    <pivotCache cacheId="56" r:id="rId20"/>
    <pivotCache cacheId="63" r:id="rId21"/>
    <pivotCache cacheId="67" r:id="rId22"/>
    <pivotCache cacheId="76" r:id="rId23"/>
    <pivotCache cacheId="83"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Egypt_Energy_Project5.xlsx!Table3"/>
          <x15:modelTable id="Table6" name="Table6" connection="WorksheetConnection_Egypt_Energy_Project5.xlsx!Table6"/>
          <x15:modelTable id="Table1" name="Table1" connection="WorksheetConnection_Egypt_Energy_Project5.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2" l="1"/>
  <c r="Q3" i="2"/>
  <c r="G11" i="2"/>
  <c r="G12" i="2"/>
  <c r="G13" i="2"/>
  <c r="G14" i="2"/>
  <c r="G15" i="2"/>
  <c r="G16" i="2"/>
  <c r="G17" i="2"/>
  <c r="G18" i="2"/>
  <c r="G19" i="2"/>
  <c r="G20" i="2"/>
  <c r="G21" i="2"/>
  <c r="G22" i="2"/>
  <c r="G23" i="2"/>
  <c r="G24" i="2"/>
  <c r="G25" i="2"/>
  <c r="G26" i="2"/>
  <c r="C45" i="3"/>
  <c r="C44" i="3"/>
  <c r="C43" i="3"/>
  <c r="C42" i="3"/>
  <c r="C41" i="3"/>
  <c r="C40" i="3"/>
  <c r="C39" i="3"/>
  <c r="C38" i="3"/>
  <c r="C37" i="3"/>
  <c r="C36" i="3"/>
  <c r="C35" i="3"/>
  <c r="C34" i="3"/>
  <c r="C33" i="3"/>
  <c r="C32" i="3"/>
  <c r="C31" i="3"/>
  <c r="C30" i="3"/>
  <c r="E3" i="3"/>
  <c r="E4" i="3"/>
  <c r="E5" i="3"/>
  <c r="E6" i="3"/>
  <c r="E7" i="3"/>
  <c r="E8" i="3"/>
  <c r="E9" i="3"/>
  <c r="E10" i="3"/>
  <c r="E11" i="3"/>
  <c r="E12" i="3"/>
  <c r="E13" i="3"/>
  <c r="E14" i="3"/>
  <c r="E15" i="3"/>
  <c r="E16" i="3"/>
  <c r="E17" i="3"/>
  <c r="E18" i="3"/>
  <c r="E19" i="3"/>
  <c r="E20" i="3"/>
  <c r="E21" i="3"/>
  <c r="E22" i="3"/>
  <c r="E23" i="3"/>
  <c r="E24" i="3"/>
  <c r="E25" i="3"/>
  <c r="E2" i="3"/>
  <c r="D19" i="4" l="1"/>
  <c r="D3" i="3"/>
  <c r="D4" i="3"/>
  <c r="D5" i="3"/>
  <c r="D6" i="3"/>
  <c r="D7" i="3"/>
  <c r="D8" i="3"/>
  <c r="D9" i="3"/>
  <c r="D10" i="3"/>
  <c r="D11" i="3"/>
  <c r="D12" i="3"/>
  <c r="D13" i="3"/>
  <c r="D14" i="3"/>
  <c r="D15" i="3"/>
  <c r="D16" i="3"/>
  <c r="D17" i="3"/>
  <c r="D18" i="3"/>
  <c r="D19" i="3"/>
  <c r="D20" i="3"/>
  <c r="D21" i="3"/>
  <c r="D22" i="3"/>
  <c r="D23" i="3"/>
  <c r="D24" i="3"/>
  <c r="D25" i="3"/>
  <c r="D2" i="3"/>
  <c r="C3" i="3"/>
  <c r="C4" i="3"/>
  <c r="C5" i="3"/>
  <c r="C6" i="3"/>
  <c r="C7" i="3"/>
  <c r="C8" i="3"/>
  <c r="C9" i="3"/>
  <c r="C10" i="3"/>
  <c r="C11" i="3"/>
  <c r="C12" i="3"/>
  <c r="C13" i="3"/>
  <c r="C14" i="3"/>
  <c r="C15" i="3"/>
  <c r="C16" i="3"/>
  <c r="C17" i="3"/>
  <c r="C18" i="3"/>
  <c r="C19" i="3"/>
  <c r="C20" i="3"/>
  <c r="C21" i="3"/>
  <c r="C22" i="3"/>
  <c r="C23" i="3"/>
  <c r="C24" i="3"/>
  <c r="C25" i="3"/>
  <c r="C2" i="3"/>
  <c r="B3" i="3"/>
  <c r="B4" i="3"/>
  <c r="B5" i="3"/>
  <c r="B6" i="3"/>
  <c r="B7" i="3"/>
  <c r="B8" i="3"/>
  <c r="B9" i="3"/>
  <c r="B10" i="3"/>
  <c r="B11" i="3"/>
  <c r="B12" i="3"/>
  <c r="B13" i="3"/>
  <c r="B14" i="3"/>
  <c r="B15" i="3"/>
  <c r="B16" i="3"/>
  <c r="B17" i="3"/>
  <c r="B18" i="3"/>
  <c r="B19" i="3"/>
  <c r="B20" i="3"/>
  <c r="B21" i="3"/>
  <c r="B22" i="3"/>
  <c r="B23" i="3"/>
  <c r="B24" i="3"/>
  <c r="B25" i="3"/>
  <c r="B2" i="3"/>
  <c r="C34" i="2"/>
  <c r="C33" i="2"/>
  <c r="C32" i="2"/>
  <c r="C31" i="2"/>
  <c r="Q26" i="2" l="1"/>
  <c r="Q25" i="2"/>
  <c r="Q24" i="2"/>
  <c r="Q23" i="2"/>
  <c r="Q22" i="2"/>
  <c r="Q21" i="2"/>
  <c r="Q20" i="2"/>
  <c r="Q19" i="2"/>
  <c r="Q18" i="2"/>
  <c r="Q17" i="2"/>
  <c r="Q16" i="2"/>
  <c r="Q15" i="2"/>
  <c r="Q14" i="2"/>
  <c r="Q13" i="2"/>
  <c r="Q12" i="2"/>
  <c r="Q11" i="2"/>
  <c r="Q10" i="2"/>
  <c r="Q8" i="2"/>
  <c r="Q7" i="2"/>
  <c r="Q6" i="2"/>
  <c r="Q5" i="2"/>
  <c r="Q4" i="2"/>
  <c r="G5" i="2"/>
  <c r="G6" i="2"/>
  <c r="M4" i="2"/>
  <c r="M5" i="2"/>
  <c r="M6" i="2"/>
  <c r="M7" i="2"/>
  <c r="M8" i="2"/>
  <c r="M9" i="2"/>
  <c r="M10" i="2"/>
  <c r="M11" i="2"/>
  <c r="M12" i="2"/>
  <c r="M13" i="2"/>
  <c r="M14" i="2"/>
  <c r="M15" i="2"/>
  <c r="M16" i="2"/>
  <c r="M17" i="2"/>
  <c r="M18" i="2"/>
  <c r="M19" i="2"/>
  <c r="M20" i="2"/>
  <c r="M21" i="2"/>
  <c r="M22" i="2"/>
  <c r="M23" i="2"/>
  <c r="M24" i="2"/>
  <c r="M25" i="2"/>
  <c r="M26" i="2"/>
  <c r="M3" i="2"/>
  <c r="K4" i="2"/>
  <c r="K5" i="2"/>
  <c r="K6" i="2"/>
  <c r="K7" i="2"/>
  <c r="K8" i="2"/>
  <c r="K9" i="2"/>
  <c r="K10" i="2"/>
  <c r="K11" i="2"/>
  <c r="N11" i="2" s="1"/>
  <c r="K12" i="2"/>
  <c r="K13" i="2"/>
  <c r="K14" i="2"/>
  <c r="K15" i="2"/>
  <c r="K16" i="2"/>
  <c r="K17" i="2"/>
  <c r="K18" i="2"/>
  <c r="K19" i="2"/>
  <c r="K20" i="2"/>
  <c r="K21" i="2"/>
  <c r="K22" i="2"/>
  <c r="K23" i="2"/>
  <c r="K24" i="2"/>
  <c r="K25" i="2"/>
  <c r="K26" i="2"/>
  <c r="K3" i="2"/>
  <c r="J5" i="2"/>
  <c r="J6" i="2"/>
  <c r="J7" i="2"/>
  <c r="J8" i="2"/>
  <c r="J9" i="2"/>
  <c r="J10" i="2"/>
  <c r="J11" i="2"/>
  <c r="J12" i="2"/>
  <c r="J13" i="2"/>
  <c r="J14" i="2"/>
  <c r="J15" i="2"/>
  <c r="J16" i="2"/>
  <c r="J17" i="2"/>
  <c r="J18" i="2"/>
  <c r="J19" i="2"/>
  <c r="J20" i="2"/>
  <c r="J21" i="2"/>
  <c r="J22" i="2"/>
  <c r="J23" i="2"/>
  <c r="J24" i="2"/>
  <c r="J25" i="2"/>
  <c r="J26" i="2"/>
  <c r="J4" i="2"/>
  <c r="J3" i="2"/>
  <c r="I26" i="2"/>
  <c r="I25" i="2"/>
  <c r="I24" i="2"/>
  <c r="I23" i="2"/>
  <c r="I22" i="2"/>
  <c r="I21" i="2"/>
  <c r="I20" i="2"/>
  <c r="I19" i="2"/>
  <c r="I18" i="2"/>
  <c r="I17" i="2"/>
  <c r="I16" i="2"/>
  <c r="I15" i="2"/>
  <c r="I14" i="2"/>
  <c r="I13" i="2"/>
  <c r="I12" i="2"/>
  <c r="I11" i="2"/>
  <c r="I10" i="2"/>
  <c r="I9" i="2"/>
  <c r="I8" i="2"/>
  <c r="I7" i="2"/>
  <c r="I6" i="2"/>
  <c r="I5" i="2"/>
  <c r="I4" i="2"/>
  <c r="I3" i="2"/>
  <c r="G4" i="2"/>
  <c r="G7" i="2"/>
  <c r="G8" i="2"/>
  <c r="G9" i="2"/>
  <c r="G10" i="2"/>
  <c r="G3" i="2"/>
  <c r="F26" i="2"/>
  <c r="F25" i="2"/>
  <c r="F24" i="2"/>
  <c r="F23" i="2"/>
  <c r="F22" i="2"/>
  <c r="F21" i="2"/>
  <c r="F20" i="2"/>
  <c r="F19" i="2"/>
  <c r="F18" i="2"/>
  <c r="F17" i="2"/>
  <c r="P17" i="2" s="1"/>
  <c r="F16" i="2"/>
  <c r="F15" i="2"/>
  <c r="F14" i="2"/>
  <c r="P14" i="2" s="1"/>
  <c r="F13" i="2"/>
  <c r="F12" i="2"/>
  <c r="F11" i="2"/>
  <c r="P11" i="2" s="1"/>
  <c r="F10" i="2"/>
  <c r="F9" i="2"/>
  <c r="F8" i="2"/>
  <c r="F7" i="2"/>
  <c r="P7" i="2" s="1"/>
  <c r="F6" i="2"/>
  <c r="F5" i="2"/>
  <c r="F4" i="2"/>
  <c r="F3" i="2"/>
  <c r="C23" i="2"/>
  <c r="C24" i="2"/>
  <c r="C26" i="2"/>
  <c r="C25" i="2"/>
  <c r="C22" i="2"/>
  <c r="C21" i="2"/>
  <c r="C20" i="2"/>
  <c r="C19" i="2"/>
  <c r="C18" i="2"/>
  <c r="C17" i="2"/>
  <c r="C16" i="2"/>
  <c r="C15" i="2"/>
  <c r="C14" i="2"/>
  <c r="C13" i="2"/>
  <c r="C12" i="2"/>
  <c r="C11" i="2"/>
  <c r="C10" i="2"/>
  <c r="C9" i="2"/>
  <c r="C8" i="2"/>
  <c r="C7" i="2"/>
  <c r="C6" i="2"/>
  <c r="C5" i="2"/>
  <c r="C4" i="2"/>
  <c r="C3" i="2"/>
  <c r="B26" i="2"/>
  <c r="B25" i="2"/>
  <c r="B24" i="2"/>
  <c r="B23" i="2"/>
  <c r="B22" i="2"/>
  <c r="B21" i="2"/>
  <c r="B20" i="2"/>
  <c r="B19" i="2"/>
  <c r="B18" i="2"/>
  <c r="B17" i="2"/>
  <c r="B16" i="2"/>
  <c r="B15" i="2"/>
  <c r="B14" i="2"/>
  <c r="B13" i="2"/>
  <c r="B12" i="2"/>
  <c r="B11" i="2"/>
  <c r="B10" i="2"/>
  <c r="B9" i="2"/>
  <c r="B8" i="2"/>
  <c r="B7" i="2"/>
  <c r="B6" i="2"/>
  <c r="B5" i="2"/>
  <c r="B4" i="2"/>
  <c r="B3"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N18" i="2" l="1"/>
  <c r="N26" i="2"/>
  <c r="N6" i="2"/>
  <c r="N21" i="2"/>
  <c r="N25" i="2"/>
  <c r="N4" i="2"/>
  <c r="N23" i="2"/>
  <c r="N5" i="2"/>
  <c r="N24" i="2"/>
  <c r="P10" i="2"/>
  <c r="P8" i="2"/>
  <c r="N17" i="2"/>
  <c r="P19" i="2"/>
  <c r="N10" i="2"/>
  <c r="P9" i="2"/>
  <c r="N16" i="2"/>
  <c r="N20" i="2"/>
  <c r="P20" i="2"/>
  <c r="N15" i="2"/>
  <c r="N19" i="2"/>
  <c r="N14" i="2"/>
  <c r="N13" i="2"/>
  <c r="P12" i="2"/>
  <c r="P13" i="2"/>
  <c r="N12" i="2"/>
  <c r="P16" i="2"/>
  <c r="N8" i="2"/>
  <c r="P15" i="2"/>
  <c r="N9" i="2"/>
  <c r="P18" i="2"/>
  <c r="N3" i="2"/>
  <c r="N7" i="2"/>
  <c r="P21" i="2"/>
  <c r="P22" i="2"/>
  <c r="P3" i="2"/>
  <c r="N22" i="2"/>
  <c r="P4" i="2"/>
  <c r="P5" i="2"/>
  <c r="P25" i="2"/>
  <c r="P23" i="2"/>
  <c r="P24" i="2"/>
  <c r="P26" i="2"/>
  <c r="P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6" authorId="0" shapeId="0" xr:uid="{74E4A566-3B0B-466A-B66C-1CA85BA6CEF1}">
      <text>
        <r>
          <rPr>
            <sz val="10"/>
            <rFont val="FreeSans"/>
            <family val="2"/>
          </rPr>
          <t>خلية إدخال — عدّل الرقم هنا</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5B2E06-A0AC-4840-9355-B09592116F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0757A6-F4AD-4627-918F-B7E7ED98323D}" name="WorksheetConnection_Egypt_Energy_Project5.xlsx!Table1" type="102" refreshedVersion="8" minRefreshableVersion="5">
    <extLst>
      <ext xmlns:x15="http://schemas.microsoft.com/office/spreadsheetml/2010/11/main" uri="{DE250136-89BD-433C-8126-D09CA5730AF9}">
        <x15:connection id="Table1">
          <x15:rangePr sourceName="_xlcn.WorksheetConnection_Egypt_Energy_Project5.xlsxTable11"/>
        </x15:connection>
      </ext>
    </extLst>
  </connection>
  <connection id="3" xr16:uid="{3F4FEDD8-E588-4F88-BBA7-EDBDA70310CF}" name="WorksheetConnection_Egypt_Energy_Project5.xlsx!Table3" type="102" refreshedVersion="8" minRefreshableVersion="5">
    <extLst>
      <ext xmlns:x15="http://schemas.microsoft.com/office/spreadsheetml/2010/11/main" uri="{DE250136-89BD-433C-8126-D09CA5730AF9}">
        <x15:connection id="Table3" autoDelete="1">
          <x15:rangePr sourceName="_xlcn.WorksheetConnection_Egypt_Energy_Project5.xlsxTable31"/>
        </x15:connection>
      </ext>
    </extLst>
  </connection>
  <connection id="4" xr16:uid="{79BE50B6-0710-4E62-816E-50E3A7AEEC95}" name="WorksheetConnection_Egypt_Energy_Project5.xlsx!Table6" type="102" refreshedVersion="8" minRefreshableVersion="5">
    <extLst>
      <ext xmlns:x15="http://schemas.microsoft.com/office/spreadsheetml/2010/11/main" uri="{DE250136-89BD-433C-8126-D09CA5730AF9}">
        <x15:connection id="Table6" autoDelete="1">
          <x15:rangePr sourceName="_xlcn.WorksheetConnection_Egypt_Energy_Project5.xlsxTable6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year].[All]}"/>
    <s v="{[Table1].[country].[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<sst xmlns="http://schemas.openxmlformats.org/spreadsheetml/2006/main" count="1764" uniqueCount="137">
  <si>
    <t>country</t>
  </si>
  <si>
    <t>year</t>
  </si>
  <si>
    <t>iso_code</t>
  </si>
  <si>
    <t>region</t>
  </si>
  <si>
    <t>income_group</t>
  </si>
  <si>
    <t>population</t>
  </si>
  <si>
    <t>gdp</t>
  </si>
  <si>
    <t>electricity_generation</t>
  </si>
  <si>
    <t>electricity_demand</t>
  </si>
  <si>
    <t>electricity_demand_per_capita</t>
  </si>
  <si>
    <t>net_elec_imports</t>
  </si>
  <si>
    <t>net_elec_imports_share_demand</t>
  </si>
  <si>
    <t>gas_production</t>
  </si>
  <si>
    <t>gas_consumption</t>
  </si>
  <si>
    <t>gas_prod_per_capita</t>
  </si>
  <si>
    <t>gas_share_elec</t>
  </si>
  <si>
    <t>gas_share_energy</t>
  </si>
  <si>
    <t>oil_production</t>
  </si>
  <si>
    <t>oil_consumption</t>
  </si>
  <si>
    <t>renewables_electricity</t>
  </si>
  <si>
    <t>renewables_share_elec</t>
  </si>
  <si>
    <t>fossil_electricity</t>
  </si>
  <si>
    <t>fossil_share_elec</t>
  </si>
  <si>
    <t>energy_per_capita</t>
  </si>
  <si>
    <t>greenhouse_gas_emissions</t>
  </si>
  <si>
    <t>gdp_worldbank_usd</t>
  </si>
  <si>
    <t>Algeria</t>
  </si>
  <si>
    <t>DZA</t>
  </si>
  <si>
    <t>Middle East &amp; North Africa</t>
  </si>
  <si>
    <t>Upper middle income</t>
  </si>
  <si>
    <t>Egypt</t>
  </si>
  <si>
    <t>EGY</t>
  </si>
  <si>
    <t>Lower middle income</t>
  </si>
  <si>
    <t>Ethiopia</t>
  </si>
  <si>
    <t>ETH</t>
  </si>
  <si>
    <t>Sub-Saharan Africa</t>
  </si>
  <si>
    <t>Low income</t>
  </si>
  <si>
    <t>Iran</t>
  </si>
  <si>
    <t>IRN</t>
  </si>
  <si>
    <t>Iraq</t>
  </si>
  <si>
    <t>IRQ</t>
  </si>
  <si>
    <t>Israel</t>
  </si>
  <si>
    <t>ISR</t>
  </si>
  <si>
    <t>High income</t>
  </si>
  <si>
    <t>Jordan</t>
  </si>
  <si>
    <t>JOR</t>
  </si>
  <si>
    <t>Libya</t>
  </si>
  <si>
    <t>LBY</t>
  </si>
  <si>
    <t>Morocco</t>
  </si>
  <si>
    <t>MAR</t>
  </si>
  <si>
    <t>Nigeria</t>
  </si>
  <si>
    <t>NGA</t>
  </si>
  <si>
    <t>Saudi Arabia</t>
  </si>
  <si>
    <t>SAU</t>
  </si>
  <si>
    <t>South Africa</t>
  </si>
  <si>
    <t>ZAF</t>
  </si>
  <si>
    <t>Sudan</t>
  </si>
  <si>
    <t>SDN</t>
  </si>
  <si>
    <t>Tunisia</t>
  </si>
  <si>
    <t>TUN</t>
  </si>
  <si>
    <t>Turkey</t>
  </si>
  <si>
    <t>TUR</t>
  </si>
  <si>
    <t>Europe &amp; Central Asia</t>
  </si>
  <si>
    <t>United Arab Emirates</t>
  </si>
  <si>
    <t>ARE</t>
  </si>
  <si>
    <t>Row Labels</t>
  </si>
  <si>
    <t>Grand Total</t>
  </si>
  <si>
    <t>مؤشرات الإنتاج والاستهلاك — مصر (2000–2023)</t>
  </si>
  <si>
    <t>Electricity Generation(TWH)</t>
  </si>
  <si>
    <t>Electricity Demand (TWH0</t>
  </si>
  <si>
    <t>Gas Production (TWH eq)</t>
  </si>
  <si>
    <t>Gas Consumption (TWH eq)</t>
  </si>
  <si>
    <t>Oil Production (TWH eq)</t>
  </si>
  <si>
    <t>Oil Consumption (TWH eq)</t>
  </si>
  <si>
    <t>Renewable Elec (TWH)</t>
  </si>
  <si>
    <t>Fossil Elec (TWh)</t>
  </si>
  <si>
    <t>Renewables Share (%)</t>
  </si>
  <si>
    <t>Gas Net Balance (TWh eq)</t>
  </si>
  <si>
    <t>GDP (current US$, WB)</t>
  </si>
  <si>
    <t>Column1</t>
  </si>
  <si>
    <t>أحدث سنة متاحة: 2023</t>
  </si>
  <si>
    <t>إجمالي توليد الكهرباء (TWh)</t>
  </si>
  <si>
    <t>إجمالي الطلب على الكهرباء (TWh)</t>
  </si>
  <si>
    <t>نسبة الطاقة المتجددة (%)</t>
  </si>
  <si>
    <t>صافي واردات الكهرباء (TWh)</t>
  </si>
  <si>
    <t>Year</t>
  </si>
  <si>
    <t>Net Elec Imports (TWh)</t>
  </si>
  <si>
    <t>Net Elec Imports Share of Demand (%)</t>
  </si>
  <si>
    <t>Gas Net Balance (Prod-Cons, TWh eq)</t>
  </si>
  <si>
    <t>Oil Net Balance (Prod-Cons, TWh eq)</t>
  </si>
  <si>
    <t>Country</t>
  </si>
  <si>
    <t>Consumption Tier (kWh/month)</t>
  </si>
  <si>
    <t>Residential Price (EGP/kWh)</t>
  </si>
  <si>
    <t>Effective Since</t>
  </si>
  <si>
    <t>0–50</t>
  </si>
  <si>
    <t>Sep 2024</t>
  </si>
  <si>
    <t>51–100</t>
  </si>
  <si>
    <t>101–200</t>
  </si>
  <si>
    <t>201–350</t>
  </si>
  <si>
    <t>351–650</t>
  </si>
  <si>
    <t>651–1000</t>
  </si>
  <si>
    <t>1000+</t>
  </si>
  <si>
    <t>Apr 2026</t>
  </si>
  <si>
    <t>First Tier Price (EGP/kWh, 0-50 kWh)</t>
  </si>
  <si>
    <t>Status</t>
  </si>
  <si>
    <t>Source</t>
  </si>
  <si>
    <t>مؤكد</t>
  </si>
  <si>
    <r>
      <rPr>
        <sz val="11"/>
        <color theme="1"/>
        <rFont val="Aptos Narrow"/>
        <family val="2"/>
        <scheme val="minor"/>
      </rPr>
      <t xml:space="preserve">Marefa — </t>
    </r>
    <r>
      <rPr>
        <sz val="11"/>
        <color theme="1"/>
        <rFont val="FreeSans"/>
        <family val="2"/>
      </rPr>
      <t xml:space="preserve">ثابت منذ </t>
    </r>
    <r>
      <rPr>
        <sz val="11"/>
        <color theme="1"/>
        <rFont val="Aptos Narrow"/>
        <family val="2"/>
        <scheme val="minor"/>
      </rPr>
      <t>1993</t>
    </r>
  </si>
  <si>
    <r>
      <rPr>
        <sz val="11"/>
        <color theme="1"/>
        <rFont val="Aptos Narrow"/>
        <family val="2"/>
        <scheme val="minor"/>
      </rPr>
      <t xml:space="preserve">Masrawy — </t>
    </r>
    <r>
      <rPr>
        <sz val="11"/>
        <color theme="1"/>
        <rFont val="FreeSans"/>
        <family val="2"/>
      </rPr>
      <t xml:space="preserve">بداية خطة رفع الدعم </t>
    </r>
    <r>
      <rPr>
        <sz val="11"/>
        <color theme="1"/>
        <rFont val="Aptos Narrow"/>
        <family val="2"/>
        <scheme val="minor"/>
      </rPr>
      <t>(</t>
    </r>
    <r>
      <rPr>
        <sz val="11"/>
        <color theme="1"/>
        <rFont val="FreeSans"/>
        <family val="2"/>
      </rPr>
      <t xml:space="preserve">يوليو </t>
    </r>
    <r>
      <rPr>
        <sz val="11"/>
        <color theme="1"/>
        <rFont val="Aptos Narrow"/>
        <family val="2"/>
        <scheme val="minor"/>
      </rPr>
      <t>2014)</t>
    </r>
  </si>
  <si>
    <t>غير مؤكد</t>
  </si>
  <si>
    <r>
      <rPr>
        <sz val="11"/>
        <color theme="1"/>
        <rFont val="FreeSans"/>
        <family val="2"/>
      </rPr>
      <t xml:space="preserve">زيادة سنوية جزء من خطة </t>
    </r>
    <r>
      <rPr>
        <sz val="11"/>
        <color theme="1"/>
        <rFont val="Aptos Narrow"/>
        <family val="2"/>
        <scheme val="minor"/>
      </rPr>
      <t xml:space="preserve">5 </t>
    </r>
    <r>
      <rPr>
        <sz val="11"/>
        <color theme="1"/>
        <rFont val="FreeSans"/>
        <family val="2"/>
      </rPr>
      <t>سنوات — الرقم الدقيق غير متاح رغم بحث إضافي</t>
    </r>
  </si>
  <si>
    <r>
      <rPr>
        <sz val="11"/>
        <color theme="1"/>
        <rFont val="Aptos Narrow"/>
        <family val="2"/>
        <scheme val="minor"/>
      </rPr>
      <t>Masrawy (</t>
    </r>
    <r>
      <rPr>
        <sz val="11"/>
        <color theme="1"/>
        <rFont val="FreeSans"/>
        <family val="2"/>
      </rPr>
      <t xml:space="preserve">فبراير </t>
    </r>
    <r>
      <rPr>
        <sz val="11"/>
        <color theme="1"/>
        <rFont val="Aptos Narrow"/>
        <family val="2"/>
        <scheme val="minor"/>
      </rPr>
      <t xml:space="preserve">2020) — </t>
    </r>
    <r>
      <rPr>
        <sz val="11"/>
        <color theme="1"/>
        <rFont val="FreeSans"/>
        <family val="2"/>
      </rPr>
      <t>مذكور كسعر سابق مقارنةً بـ</t>
    </r>
    <r>
      <rPr>
        <sz val="11"/>
        <color theme="1"/>
        <rFont val="Aptos Narrow"/>
        <family val="2"/>
        <scheme val="minor"/>
      </rPr>
      <t>2019</t>
    </r>
  </si>
  <si>
    <r>
      <rPr>
        <sz val="11"/>
        <color theme="1"/>
        <rFont val="Aptos Narrow"/>
        <family val="2"/>
        <scheme val="minor"/>
      </rPr>
      <t>Masrawy (</t>
    </r>
    <r>
      <rPr>
        <sz val="11"/>
        <color theme="1"/>
        <rFont val="FreeSans"/>
        <family val="2"/>
      </rPr>
      <t xml:space="preserve">فبراير </t>
    </r>
    <r>
      <rPr>
        <sz val="11"/>
        <color theme="1"/>
        <rFont val="Aptos Narrow"/>
        <family val="2"/>
        <scheme val="minor"/>
      </rPr>
      <t>2020) + Alghad.tv (</t>
    </r>
    <r>
      <rPr>
        <sz val="11"/>
        <color theme="1"/>
        <rFont val="FreeSans"/>
        <family val="2"/>
      </rPr>
      <t xml:space="preserve">يونيو </t>
    </r>
    <r>
      <rPr>
        <sz val="11"/>
        <color theme="1"/>
        <rFont val="Aptos Narrow"/>
        <family val="2"/>
        <scheme val="minor"/>
      </rPr>
      <t xml:space="preserve">2020) — </t>
    </r>
    <r>
      <rPr>
        <sz val="11"/>
        <color theme="1"/>
        <rFont val="FreeSans"/>
        <family val="2"/>
      </rPr>
      <t>مؤكد من مصدرين</t>
    </r>
  </si>
  <si>
    <r>
      <rPr>
        <sz val="11"/>
        <color theme="1"/>
        <rFont val="Aptos Narrow"/>
        <family val="2"/>
        <scheme val="minor"/>
      </rPr>
      <t>Alghad.tv (</t>
    </r>
    <r>
      <rPr>
        <sz val="11"/>
        <color theme="1"/>
        <rFont val="FreeSans"/>
        <family val="2"/>
      </rPr>
      <t xml:space="preserve">يونيو </t>
    </r>
    <r>
      <rPr>
        <sz val="11"/>
        <color theme="1"/>
        <rFont val="Aptos Narrow"/>
        <family val="2"/>
        <scheme val="minor"/>
      </rPr>
      <t>2020)</t>
    </r>
  </si>
  <si>
    <r>
      <rPr>
        <sz val="11"/>
        <color theme="1"/>
        <rFont val="Aptos Narrow"/>
        <family val="2"/>
        <scheme val="minor"/>
      </rPr>
      <t xml:space="preserve">Marefa/Almasryalyoum — </t>
    </r>
    <r>
      <rPr>
        <sz val="11"/>
        <color theme="1"/>
        <rFont val="FreeSans"/>
        <family val="2"/>
      </rPr>
      <t xml:space="preserve">مقارنة </t>
    </r>
    <r>
      <rPr>
        <sz val="11"/>
        <color theme="1"/>
        <rFont val="Aptos Narrow"/>
        <family val="2"/>
        <scheme val="minor"/>
      </rPr>
      <t>FY2021/22</t>
    </r>
  </si>
  <si>
    <r>
      <rPr>
        <sz val="11"/>
        <color theme="1"/>
        <rFont val="Aptos Narrow"/>
        <family val="2"/>
        <scheme val="minor"/>
      </rPr>
      <t>Marefa (</t>
    </r>
    <r>
      <rPr>
        <sz val="11"/>
        <color theme="1"/>
        <rFont val="FreeSans"/>
        <family val="2"/>
      </rPr>
      <t xml:space="preserve">تعريفة يوليو </t>
    </r>
    <r>
      <rPr>
        <sz val="11"/>
        <color theme="1"/>
        <rFont val="Aptos Narrow"/>
        <family val="2"/>
        <scheme val="minor"/>
      </rPr>
      <t>2022)</t>
    </r>
  </si>
  <si>
    <r>
      <rPr>
        <sz val="11"/>
        <color theme="1"/>
        <rFont val="Aptos Narrow"/>
        <family val="2"/>
        <scheme val="minor"/>
      </rPr>
      <t>Marefa (</t>
    </r>
    <r>
      <rPr>
        <sz val="11"/>
        <color theme="1"/>
        <rFont val="FreeSans"/>
        <family val="2"/>
      </rPr>
      <t xml:space="preserve">تعريفة يوليو </t>
    </r>
    <r>
      <rPr>
        <sz val="11"/>
        <color theme="1"/>
        <rFont val="Aptos Narrow"/>
        <family val="2"/>
        <scheme val="minor"/>
      </rPr>
      <t xml:space="preserve">2023) — </t>
    </r>
    <r>
      <rPr>
        <sz val="11"/>
        <color theme="1"/>
        <rFont val="FreeSans"/>
        <family val="2"/>
      </rPr>
      <t xml:space="preserve">ثابت حتى أبريل </t>
    </r>
    <r>
      <rPr>
        <sz val="11"/>
        <color theme="1"/>
        <rFont val="Aptos Narrow"/>
        <family val="2"/>
        <scheme val="minor"/>
      </rPr>
      <t>2026</t>
    </r>
  </si>
  <si>
    <t>حاسبة تقديرية للفاتورة (أدخل الاستهلاك الشهري بالـ kWh):</t>
  </si>
  <si>
    <r>
      <rPr>
        <sz val="11"/>
        <color theme="1"/>
        <rFont val="FreeSans"/>
        <family val="2"/>
      </rPr>
      <t xml:space="preserve">الاستهلاك الشهري </t>
    </r>
    <r>
      <rPr>
        <sz val="11"/>
        <color theme="1"/>
        <rFont val="Aptos Narrow"/>
        <family val="2"/>
        <scheme val="minor"/>
      </rPr>
      <t>(kWh)</t>
    </r>
  </si>
  <si>
    <r>
      <rPr>
        <sz val="11"/>
        <color theme="1"/>
        <rFont val="FreeSans"/>
        <family val="2"/>
      </rPr>
      <t xml:space="preserve">قيمة استهلاك الطاقة </t>
    </r>
    <r>
      <rPr>
        <sz val="11"/>
        <color theme="1"/>
        <rFont val="Aptos Narrow"/>
        <family val="2"/>
        <scheme val="minor"/>
      </rPr>
      <t>(EGP)</t>
    </r>
  </si>
  <si>
    <r>
      <rPr>
        <sz val="11"/>
        <color theme="1"/>
        <rFont val="FreeSans"/>
        <family val="2"/>
      </rPr>
      <t xml:space="preserve">مقابل خدمة العملاء الشهري </t>
    </r>
    <r>
      <rPr>
        <sz val="11"/>
        <color theme="1"/>
        <rFont val="Aptos Narrow"/>
        <family val="2"/>
        <scheme val="minor"/>
      </rPr>
      <t>(EGP)</t>
    </r>
  </si>
  <si>
    <r>
      <rPr>
        <sz val="11"/>
        <color theme="1"/>
        <rFont val="FreeSans"/>
        <family val="2"/>
      </rPr>
      <t xml:space="preserve">إجمالي الفاتورة التقديري </t>
    </r>
    <r>
      <rPr>
        <sz val="11"/>
        <color theme="1"/>
        <rFont val="Aptos Narrow"/>
        <family val="2"/>
        <scheme val="minor"/>
      </rPr>
      <t>(EGP)</t>
    </r>
  </si>
  <si>
    <t>Sum of Gas Consumption (TWH eq)</t>
  </si>
  <si>
    <t>Sum of Oil Consumption (TWH eq)</t>
  </si>
  <si>
    <t>(Multiple Items)</t>
  </si>
  <si>
    <t>Sum of Oil Net Balance (Prod-Cons, TWh eq)</t>
  </si>
  <si>
    <t>Sum of Electricity Generation(TWH)</t>
  </si>
  <si>
    <t>Sum of Electricity Demand (TWH0</t>
  </si>
  <si>
    <t>Sum of Gas Production (TWH eq)</t>
  </si>
  <si>
    <t>Sum of Oil Production (TWH eq)</t>
  </si>
  <si>
    <t>Sum of Renewables Share (%)</t>
  </si>
  <si>
    <t>Sum of net_elec_imports</t>
  </si>
  <si>
    <t>Sum of Gas Net Balance (Prod-Cons, TWh eq)</t>
  </si>
  <si>
    <t>Sum of First Tier Price (EGP/kWh, 0-50 kWh)</t>
  </si>
  <si>
    <t>Average of energy_per_capita</t>
  </si>
  <si>
    <t>Sum of Net Elec Imports (TWh)</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</si>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</sst>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1F3864"/>
      <name val="Arial"/>
      <charset val="1"/>
    </font>
    <font>
      <b/>
      <sz val="10"/>
      <name val="Arial"/>
      <charset val="1"/>
    </font>
    <font>
      <b/>
      <sz val="10"/>
      <name val="Arial"/>
      <family val="2"/>
    </font>
    <font>
      <b/>
      <sz val="11"/>
      <color rgb="FFFFFFFF"/>
      <name val="Arial"/>
      <charset val="1"/>
    </font>
    <font>
      <b/>
      <sz val="11"/>
      <color rgb="FFFFFFFF"/>
      <name val="Arial"/>
      <family val="2"/>
    </font>
    <font>
      <sz val="11"/>
      <color theme="1"/>
      <name val="FreeSans"/>
      <family val="2"/>
    </font>
    <font>
      <i/>
      <sz val="11"/>
      <color rgb="FFC00000"/>
      <name val="Arial"/>
      <family val="2"/>
    </font>
    <font>
      <b/>
      <sz val="11"/>
      <color rgb="FF2E5395"/>
      <name val="Arial"/>
      <family val="2"/>
    </font>
    <font>
      <sz val="10"/>
      <name val="FreeSan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rgb="FF333333"/>
      </patternFill>
    </fill>
    <fill>
      <patternFill patternType="solid">
        <fgColor rgb="FFFFFF00"/>
        <bgColor rgb="FFFFFF00"/>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7B7B7"/>
      </left>
      <right style="thin">
        <color rgb="FFB7B7B7"/>
      </right>
      <top/>
      <bottom style="thin">
        <color rgb="FFB7B7B7"/>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1" fontId="0" fillId="0" borderId="0" xfId="0" applyNumberFormat="1"/>
    <xf numFmtId="0" fontId="0" fillId="0" borderId="0" xfId="0" pivotButton="1"/>
    <xf numFmtId="0" fontId="0" fillId="0" borderId="0" xfId="0" applyAlignment="1">
      <alignment horizontal="left"/>
    </xf>
    <xf numFmtId="0" fontId="0" fillId="0" borderId="0" xfId="0" quotePrefix="1"/>
    <xf numFmtId="3" fontId="0" fillId="0" borderId="0" xfId="0" applyNumberFormat="1"/>
    <xf numFmtId="10" fontId="0" fillId="0" borderId="0" xfId="0" applyNumberFormat="1"/>
    <xf numFmtId="0" fontId="18" fillId="0" borderId="0" xfId="0" applyFont="1"/>
    <xf numFmtId="0" fontId="19" fillId="0" borderId="0" xfId="0" applyFont="1"/>
    <xf numFmtId="0" fontId="21" fillId="33" borderId="10" xfId="0" applyFont="1" applyFill="1" applyBorder="1" applyAlignment="1">
      <alignment horizontal="center" vertical="center" wrapText="1"/>
    </xf>
    <xf numFmtId="2" fontId="0" fillId="0" borderId="0" xfId="0" applyNumberFormat="1"/>
    <xf numFmtId="0" fontId="22" fillId="33" borderId="10" xfId="0" applyFont="1" applyFill="1" applyBorder="1" applyAlignment="1">
      <alignment horizontal="center" vertical="center" wrapText="1"/>
    </xf>
    <xf numFmtId="164" fontId="0" fillId="0" borderId="0" xfId="0" applyNumberFormat="1"/>
    <xf numFmtId="0" fontId="23" fillId="0" borderId="0" xfId="0" applyFont="1"/>
    <xf numFmtId="0" fontId="24" fillId="0" borderId="0" xfId="0" applyFont="1"/>
    <xf numFmtId="0" fontId="20" fillId="0" borderId="0" xfId="0" applyFont="1"/>
    <xf numFmtId="0" fontId="0" fillId="34" borderId="0" xfId="0" applyFill="1"/>
    <xf numFmtId="4" fontId="0" fillId="0" borderId="0" xfId="0" applyNumberFormat="1"/>
    <xf numFmtId="4" fontId="25" fillId="0" borderId="0" xfId="0" applyNumberFormat="1" applyFont="1"/>
    <xf numFmtId="0" fontId="0" fillId="0" borderId="0" xfId="0" applyAlignment="1">
      <alignment horizontal="center"/>
    </xf>
    <xf numFmtId="0"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49" fontId="23" fillId="0" borderId="0" xfId="0" applyNumberFormat="1" applyFont="1"/>
    <xf numFmtId="49" fontId="24"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ill>
        <patternFill>
          <bgColor rgb="FF001746"/>
        </patternFill>
      </fill>
    </dxf>
    <dxf>
      <numFmt numFmtId="14" formatCode="0.00%"/>
    </dxf>
    <dxf>
      <numFmt numFmtId="0" formatCode="General"/>
    </dxf>
    <dxf>
      <font>
        <b val="0"/>
        <i val="0"/>
        <strike val="0"/>
        <condense val="0"/>
        <extend val="0"/>
        <outline val="0"/>
        <shadow val="0"/>
        <u val="none"/>
        <vertAlign val="baseline"/>
        <sz val="11"/>
        <color theme="1"/>
        <name val="FreeSans"/>
        <family val="2"/>
        <scheme val="none"/>
      </font>
      <numFmt numFmtId="30" formatCode="@"/>
    </dxf>
    <dxf>
      <numFmt numFmtId="164" formatCode="0.000"/>
    </dxf>
    <dxf>
      <border outline="0">
        <top style="thin">
          <color rgb="FFB7B7B7"/>
        </top>
      </border>
    </dxf>
    <dxf>
      <border outline="0">
        <bottom style="thin">
          <color rgb="FFB7B7B7"/>
        </bottom>
      </border>
    </dxf>
    <dxf>
      <font>
        <b/>
        <i val="0"/>
        <strike val="0"/>
        <condense val="0"/>
        <extend val="0"/>
        <outline val="0"/>
        <shadow val="0"/>
        <u val="none"/>
        <vertAlign val="baseline"/>
        <sz val="11"/>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numFmt numFmtId="2" formatCode="0.00"/>
    </dxf>
    <dxf>
      <border outline="0">
        <top style="thin">
          <color rgb="FFB7B7B7"/>
        </top>
      </border>
    </dxf>
    <dxf>
      <border outline="0">
        <bottom style="thin">
          <color rgb="FFB7B7B7"/>
        </bottom>
      </border>
    </dxf>
    <dxf>
      <font>
        <b/>
        <i val="0"/>
        <strike val="0"/>
        <condense val="0"/>
        <extend val="0"/>
        <outline val="0"/>
        <shadow val="0"/>
        <u val="none"/>
        <vertAlign val="baseline"/>
        <sz val="11"/>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border outline="0">
        <top style="thin">
          <color rgb="FFB7B7B7"/>
        </top>
      </border>
    </dxf>
    <dxf>
      <border outline="0">
        <bottom style="thin">
          <color rgb="FFB7B7B7"/>
        </bottom>
      </border>
    </dxf>
    <dxf>
      <font>
        <b/>
        <i val="0"/>
        <strike val="0"/>
        <condense val="0"/>
        <extend val="0"/>
        <outline val="0"/>
        <shadow val="0"/>
        <u val="none"/>
        <vertAlign val="baseline"/>
        <sz val="11"/>
        <color rgb="FFFFFFFF"/>
        <name val="Arial"/>
        <family val="2"/>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border outline="0">
        <top style="thin">
          <color rgb="FFB7B7B7"/>
        </top>
      </border>
    </dxf>
    <dxf>
      <border outline="0">
        <bottom style="thin">
          <color rgb="FFB7B7B7"/>
        </bottom>
      </border>
    </dxf>
    <dxf>
      <font>
        <b/>
        <i val="0"/>
        <strike val="0"/>
        <condense val="0"/>
        <extend val="0"/>
        <outline val="0"/>
        <shadow val="0"/>
        <u val="none"/>
        <vertAlign val="baseline"/>
        <sz val="11"/>
        <color rgb="FFFFFFFF"/>
        <name val="Arial"/>
        <charset val="1"/>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7B7B7"/>
        </left>
        <right style="thin">
          <color rgb="FFB7B7B7"/>
        </right>
        <top/>
        <bottom/>
      </border>
    </dxf>
    <dxf>
      <font>
        <b/>
        <i val="0"/>
        <strike val="0"/>
        <condense val="0"/>
        <extend val="0"/>
        <outline val="0"/>
        <shadow val="0"/>
        <u val="none"/>
        <vertAlign val="baseline"/>
        <sz val="10"/>
        <color auto="1"/>
        <name val="Arial"/>
        <charset val="1"/>
        <scheme val="none"/>
      </font>
    </dxf>
    <dxf>
      <numFmt numFmtId="15" formatCode="0.00E+00"/>
    </dxf>
    <dxf>
      <numFmt numFmtId="15" formatCode="0.00E+00"/>
    </dxf>
  </dxfs>
  <tableStyles count="1" defaultTableStyle="TableStyleMedium2" defaultPivotStyle="PivotStyleLight16">
    <tableStyle name="Slicer Style 1" pivot="0" table="0" count="7" xr9:uid="{84A48FCD-98DB-47A9-8881-2CFFA26D8F26}">
      <tableStyleElement type="wholeTable" dxfId="0"/>
    </tableStyle>
  </tableStyles>
  <colors>
    <mruColors>
      <color rgb="FF001746"/>
    </mruColors>
  </colors>
  <extLst>
    <ext xmlns:x14="http://schemas.microsoft.com/office/spreadsheetml/2009/9/main" uri="{46F421CA-312F-682f-3DD2-61675219B42D}">
      <x14:dxfs count="6">
        <dxf>
          <fill>
            <patternFill>
              <bgColor theme="3" tint="0.749961851863155"/>
            </patternFill>
          </fill>
        </dxf>
        <dxf>
          <fill>
            <patternFill>
              <bgColor theme="3" tint="0.749961851863155"/>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5"/>
            <x14:slicerStyleElement type="selectedItemWithNoData" dxfId="4"/>
            <x14:slicerStyleElement type="hoveredUnselectedItemWithData" dxfId="0"/>
            <x14:slicerStyleElement type="hoveredSelectedItemWithData" dxfId="3"/>
            <x14:slicerStyleElement type="hovered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07/relationships/slicerCache" Target="slicerCaches/slicerCache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[Egypt_Energy_Project6.xlsx]Sheet10!PivotTable16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Sheet10!$B$4</c:f>
              <c:strCache>
                <c:ptCount val="1"/>
                <c:pt idx="0">
                  <c:v>Total</c:v>
                </c:pt>
              </c:strCache>
            </c:strRef>
          </c:tx>
          <c:spPr>
            <a:solidFill>
              <a:schemeClr val="accent1"/>
            </a:solidFill>
            <a:ln>
              <a:noFill/>
            </a:ln>
            <a:effectLst/>
          </c:spPr>
          <c:invertIfNegative val="0"/>
          <c:cat>
            <c:strRef>
              <c:f>Sheet10!$A$5:$A$29</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Sheet10!$B$5:$B$29</c:f>
              <c:numCache>
                <c:formatCode>General</c:formatCode>
                <c:ptCount val="24"/>
                <c:pt idx="0">
                  <c:v>7479.4503333333341</c:v>
                </c:pt>
                <c:pt idx="1">
                  <c:v>7551.1039999999994</c:v>
                </c:pt>
                <c:pt idx="2">
                  <c:v>7647.7176666666664</c:v>
                </c:pt>
                <c:pt idx="3">
                  <c:v>7843.4516666666668</c:v>
                </c:pt>
                <c:pt idx="4">
                  <c:v>8166.8180000000002</c:v>
                </c:pt>
                <c:pt idx="5">
                  <c:v>8741.3093333333327</c:v>
                </c:pt>
                <c:pt idx="6">
                  <c:v>8467.6666666666661</c:v>
                </c:pt>
                <c:pt idx="7">
                  <c:v>7676.0423333333338</c:v>
                </c:pt>
                <c:pt idx="8">
                  <c:v>7889.5886666666665</c:v>
                </c:pt>
                <c:pt idx="9">
                  <c:v>7385.8976666666667</c:v>
                </c:pt>
                <c:pt idx="10">
                  <c:v>7529.592333333334</c:v>
                </c:pt>
                <c:pt idx="11">
                  <c:v>7417.0273333333344</c:v>
                </c:pt>
                <c:pt idx="12">
                  <c:v>7786.7576666666673</c:v>
                </c:pt>
                <c:pt idx="13">
                  <c:v>7659.1763333333338</c:v>
                </c:pt>
                <c:pt idx="14">
                  <c:v>7631.9396666666662</c:v>
                </c:pt>
                <c:pt idx="15">
                  <c:v>7688.3530000000001</c:v>
                </c:pt>
                <c:pt idx="16">
                  <c:v>7782.6073333333334</c:v>
                </c:pt>
                <c:pt idx="17">
                  <c:v>7934.3006666666661</c:v>
                </c:pt>
                <c:pt idx="18">
                  <c:v>7739.810333333332</c:v>
                </c:pt>
                <c:pt idx="19">
                  <c:v>7560.4739999999993</c:v>
                </c:pt>
                <c:pt idx="20">
                  <c:v>6735.5146666666669</c:v>
                </c:pt>
                <c:pt idx="21">
                  <c:v>6992.4656666666669</c:v>
                </c:pt>
                <c:pt idx="22">
                  <c:v>7253.820333333334</c:v>
                </c:pt>
                <c:pt idx="23">
                  <c:v>7112.6033333333335</c:v>
                </c:pt>
              </c:numCache>
            </c:numRef>
          </c:val>
          <c:extLst>
            <c:ext xmlns:c16="http://schemas.microsoft.com/office/drawing/2014/chart" uri="{C3380CC4-5D6E-409C-BE32-E72D297353CC}">
              <c16:uniqueId val="{00000000-D82B-4AD4-A229-2D6E5CE864F9}"/>
            </c:ext>
          </c:extLst>
        </c:ser>
        <c:dLbls>
          <c:showLegendKey val="0"/>
          <c:showVal val="0"/>
          <c:showCatName val="0"/>
          <c:showSerName val="0"/>
          <c:showPercent val="0"/>
          <c:showBubbleSize val="0"/>
        </c:dLbls>
        <c:gapWidth val="182"/>
        <c:axId val="1868563328"/>
        <c:axId val="1868547008"/>
      </c:barChart>
      <c:catAx>
        <c:axId val="186856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47008"/>
        <c:crosses val="autoZero"/>
        <c:auto val="1"/>
        <c:lblAlgn val="ctr"/>
        <c:lblOffset val="100"/>
        <c:noMultiLvlLbl val="0"/>
      </c:catAx>
      <c:valAx>
        <c:axId val="186854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6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[Egypt_Energy_Project6.xlsx]Sheet5!PivotTable5</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Sheet5!$A$4:$A$8</c:f>
              <c:strCache>
                <c:ptCount val="4"/>
                <c:pt idx="0">
                  <c:v>2000</c:v>
                </c:pt>
                <c:pt idx="1">
                  <c:v>2001</c:v>
                </c:pt>
                <c:pt idx="2">
                  <c:v>2002</c:v>
                </c:pt>
                <c:pt idx="3">
                  <c:v>2003</c:v>
                </c:pt>
              </c:strCache>
            </c:strRef>
          </c:cat>
          <c:val>
            <c:numRef>
              <c:f>Sheet5!$B$4:$B$8</c:f>
              <c:numCache>
                <c:formatCode>0.00%</c:formatCode>
                <c:ptCount val="4"/>
                <c:pt idx="0">
                  <c:v>0.19448990725586468</c:v>
                </c:pt>
                <c:pt idx="1">
                  <c:v>0.18077066038904718</c:v>
                </c:pt>
                <c:pt idx="2">
                  <c:v>0.16467586686767943</c:v>
                </c:pt>
                <c:pt idx="3">
                  <c:v>0.14350797266514806</c:v>
                </c:pt>
              </c:numCache>
            </c:numRef>
          </c:val>
          <c:smooth val="0"/>
          <c:extLst>
            <c:ext xmlns:c16="http://schemas.microsoft.com/office/drawing/2014/chart" uri="{C3380CC4-5D6E-409C-BE32-E72D297353CC}">
              <c16:uniqueId val="{00000000-0A20-4F16-849C-80B0B10F16E3}"/>
            </c:ext>
          </c:extLst>
        </c:ser>
        <c:dLbls>
          <c:showLegendKey val="0"/>
          <c:showVal val="0"/>
          <c:showCatName val="0"/>
          <c:showSerName val="0"/>
          <c:showPercent val="0"/>
          <c:showBubbleSize val="0"/>
        </c:dLbls>
        <c:marker val="1"/>
        <c:smooth val="0"/>
        <c:axId val="1868565248"/>
        <c:axId val="1868559968"/>
      </c:lineChart>
      <c:catAx>
        <c:axId val="18685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59968"/>
        <c:crosses val="autoZero"/>
        <c:auto val="1"/>
        <c:lblAlgn val="ctr"/>
        <c:lblOffset val="100"/>
        <c:noMultiLvlLbl val="0"/>
      </c:catAx>
      <c:valAx>
        <c:axId val="1868559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6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[Egypt_Energy_Project6.xlsx]Sheet6!PivotTable6</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Sum of Gas Production (TWH eq)</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Sheet6!$A$4:$A$8</c:f>
              <c:strCache>
                <c:ptCount val="4"/>
                <c:pt idx="0">
                  <c:v>2000</c:v>
                </c:pt>
                <c:pt idx="1">
                  <c:v>2001</c:v>
                </c:pt>
                <c:pt idx="2">
                  <c:v>2002</c:v>
                </c:pt>
                <c:pt idx="3">
                  <c:v>2003</c:v>
                </c:pt>
              </c:strCache>
            </c:strRef>
          </c:cat>
          <c:val>
            <c:numRef>
              <c:f>Sheet6!$B$4:$B$8</c:f>
              <c:numCache>
                <c:formatCode>General</c:formatCode>
                <c:ptCount val="4"/>
                <c:pt idx="0">
                  <c:v>202.125</c:v>
                </c:pt>
                <c:pt idx="1">
                  <c:v>242.55</c:v>
                </c:pt>
                <c:pt idx="2">
                  <c:v>262.76299999999998</c:v>
                </c:pt>
                <c:pt idx="3">
                  <c:v>289.71300000000002</c:v>
                </c:pt>
              </c:numCache>
            </c:numRef>
          </c:val>
          <c:smooth val="0"/>
          <c:extLst>
            <c:ext xmlns:c16="http://schemas.microsoft.com/office/drawing/2014/chart" uri="{C3380CC4-5D6E-409C-BE32-E72D297353CC}">
              <c16:uniqueId val="{00000000-BB00-46E3-B6FD-2DC10180F9AE}"/>
            </c:ext>
          </c:extLst>
        </c:ser>
        <c:ser>
          <c:idx val="1"/>
          <c:order val="1"/>
          <c:tx>
            <c:strRef>
              <c:f>Sheet6!$C$3</c:f>
              <c:strCache>
                <c:ptCount val="1"/>
                <c:pt idx="0">
                  <c:v>Sum of Oil Production (TWH eq)</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Sheet6!$A$4:$A$8</c:f>
              <c:strCache>
                <c:ptCount val="4"/>
                <c:pt idx="0">
                  <c:v>2000</c:v>
                </c:pt>
                <c:pt idx="1">
                  <c:v>2001</c:v>
                </c:pt>
                <c:pt idx="2">
                  <c:v>2002</c:v>
                </c:pt>
                <c:pt idx="3">
                  <c:v>2003</c:v>
                </c:pt>
              </c:strCache>
            </c:strRef>
          </c:cat>
          <c:val>
            <c:numRef>
              <c:f>Sheet6!$C$4:$C$8</c:f>
              <c:numCache>
                <c:formatCode>General</c:formatCode>
                <c:ptCount val="4"/>
                <c:pt idx="0">
                  <c:v>452.60500000000002</c:v>
                </c:pt>
                <c:pt idx="1">
                  <c:v>437.28899999999999</c:v>
                </c:pt>
                <c:pt idx="2">
                  <c:v>433.108</c:v>
                </c:pt>
                <c:pt idx="3">
                  <c:v>431.15300000000002</c:v>
                </c:pt>
              </c:numCache>
            </c:numRef>
          </c:val>
          <c:smooth val="0"/>
          <c:extLst>
            <c:ext xmlns:c16="http://schemas.microsoft.com/office/drawing/2014/chart" uri="{C3380CC4-5D6E-409C-BE32-E72D297353CC}">
              <c16:uniqueId val="{00000001-BB00-46E3-B6FD-2DC10180F9AE}"/>
            </c:ext>
          </c:extLst>
        </c:ser>
        <c:dLbls>
          <c:showLegendKey val="0"/>
          <c:showVal val="0"/>
          <c:showCatName val="0"/>
          <c:showSerName val="0"/>
          <c:showPercent val="0"/>
          <c:showBubbleSize val="0"/>
        </c:dLbls>
        <c:marker val="1"/>
        <c:smooth val="0"/>
        <c:axId val="1868548928"/>
        <c:axId val="1868565728"/>
      </c:lineChart>
      <c:catAx>
        <c:axId val="186854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65728"/>
        <c:crosses val="autoZero"/>
        <c:auto val="1"/>
        <c:lblAlgn val="ctr"/>
        <c:lblOffset val="100"/>
        <c:noMultiLvlLbl val="0"/>
      </c:catAx>
      <c:valAx>
        <c:axId val="186856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4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[Egypt_Energy_Project6.xlsx]ELC Prod. , Demand!PivotTable2</c:name>
    <c:fmtId val="0"/>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'ELC Prod. , Demand'!$B$3</c:f>
              <c:strCache>
                <c:ptCount val="1"/>
                <c:pt idx="0">
                  <c:v>Sum of Electricity Generation(TWH)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'ELC Prod. , Demand'!$A$4:$A$8</c:f>
              <c:strCache>
                <c:ptCount val="4"/>
                <c:pt idx="0">
                  <c:v>2000</c:v>
                </c:pt>
                <c:pt idx="1">
                  <c:v>2001</c:v>
                </c:pt>
                <c:pt idx="2">
                  <c:v>2002</c:v>
                </c:pt>
                <c:pt idx="3">
                  <c:v>2003</c:v>
                </c:pt>
              </c:strCache>
            </c:strRef>
          </c:cat>
          <c:val>
            <c:numRef>
              <c:f>'ELC Prod. , Demand'!$B$4:$B$8</c:f>
              <c:numCache>
                <c:formatCode>General</c:formatCode>
                <c:ptCount val="4"/>
                <c:pt idx="0">
                  <c:v>73.319999999999993</c:v>
                </c:pt>
                <c:pt idx="1">
                  <c:v>80.709999999999994</c:v>
                </c:pt>
                <c:pt idx="2">
                  <c:v>86.23</c:v>
                </c:pt>
                <c:pt idx="3">
                  <c:v>92.19</c:v>
                </c:pt>
              </c:numCache>
            </c:numRef>
          </c:val>
          <c:smooth val="0"/>
          <c:extLst>
            <c:ext xmlns:c16="http://schemas.microsoft.com/office/drawing/2014/chart" uri="{C3380CC4-5D6E-409C-BE32-E72D297353CC}">
              <c16:uniqueId val="{00000000-0810-4B8E-9185-8CF386A7322A}"/>
            </c:ext>
          </c:extLst>
        </c:ser>
        <c:ser>
          <c:idx val="1"/>
          <c:order val="1"/>
          <c:tx>
            <c:strRef>
              <c:f>'ELC Prod. , Demand'!$C$3</c:f>
              <c:strCache>
                <c:ptCount val="1"/>
                <c:pt idx="0">
                  <c:v>Sum of Electricity Demand (TWH0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'ELC Prod. , Demand'!$A$4:$A$8</c:f>
              <c:strCache>
                <c:ptCount val="4"/>
                <c:pt idx="0">
                  <c:v>2000</c:v>
                </c:pt>
                <c:pt idx="1">
                  <c:v>2001</c:v>
                </c:pt>
                <c:pt idx="2">
                  <c:v>2002</c:v>
                </c:pt>
                <c:pt idx="3">
                  <c:v>2003</c:v>
                </c:pt>
              </c:strCache>
            </c:strRef>
          </c:cat>
          <c:val>
            <c:numRef>
              <c:f>'ELC Prod. , Demand'!$C$4:$C$8</c:f>
              <c:numCache>
                <c:formatCode>#,##0.00</c:formatCode>
                <c:ptCount val="4"/>
                <c:pt idx="0">
                  <c:v>73.17</c:v>
                </c:pt>
                <c:pt idx="1">
                  <c:v>80.5</c:v>
                </c:pt>
                <c:pt idx="2">
                  <c:v>85.45</c:v>
                </c:pt>
                <c:pt idx="3">
                  <c:v>91.27</c:v>
                </c:pt>
              </c:numCache>
            </c:numRef>
          </c:val>
          <c:smooth val="0"/>
          <c:extLst>
            <c:ext xmlns:c16="http://schemas.microsoft.com/office/drawing/2014/chart" uri="{C3380CC4-5D6E-409C-BE32-E72D297353CC}">
              <c16:uniqueId val="{00000000-7515-4522-B01B-3009AD61F50B}"/>
            </c:ext>
          </c:extLst>
        </c:ser>
        <c:dLbls>
          <c:showLegendKey val="0"/>
          <c:showVal val="0"/>
          <c:showCatName val="0"/>
          <c:showSerName val="0"/>
          <c:showPercent val="0"/>
          <c:showBubbleSize val="0"/>
        </c:dLbls>
        <c:marker val="1"/>
        <c:smooth val="0"/>
        <c:axId val="1627209088"/>
        <c:axId val="1627202368"/>
      </c:lineChart>
      <c:catAx>
        <c:axId val="16272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02368"/>
        <c:crosses val="autoZero"/>
        <c:auto val="1"/>
        <c:lblAlgn val="ctr"/>
        <c:lblOffset val="100"/>
        <c:noMultiLvlLbl val="0"/>
      </c:catAx>
      <c:valAx>
        <c:axId val="162720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0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[Egypt_Energy_Project6.xlsx]Gas Prod. , Con.!PivotTable3</c:name>
    <c:fmtId val="0"/>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'Gas Prod. , Con.'!$B$3</c:f>
              <c:strCache>
                <c:ptCount val="1"/>
                <c:pt idx="0">
                  <c:v>Sum of Gas Production (TWH eq)</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'Gas Prod. , Con.'!$A$4:$A$8</c:f>
              <c:strCache>
                <c:ptCount val="4"/>
                <c:pt idx="0">
                  <c:v>2000</c:v>
                </c:pt>
                <c:pt idx="1">
                  <c:v>2001</c:v>
                </c:pt>
                <c:pt idx="2">
                  <c:v>2002</c:v>
                </c:pt>
                <c:pt idx="3">
                  <c:v>2003</c:v>
                </c:pt>
              </c:strCache>
            </c:strRef>
          </c:cat>
          <c:val>
            <c:numRef>
              <c:f>'Gas Prod. , Con.'!$B$4:$B$8</c:f>
              <c:numCache>
                <c:formatCode>General</c:formatCode>
                <c:ptCount val="4"/>
                <c:pt idx="0">
                  <c:v>202.125</c:v>
                </c:pt>
                <c:pt idx="1">
                  <c:v>242.55</c:v>
                </c:pt>
                <c:pt idx="2">
                  <c:v>262.76299999999998</c:v>
                </c:pt>
                <c:pt idx="3">
                  <c:v>289.71300000000002</c:v>
                </c:pt>
              </c:numCache>
            </c:numRef>
          </c:val>
          <c:smooth val="0"/>
          <c:extLst>
            <c:ext xmlns:c16="http://schemas.microsoft.com/office/drawing/2014/chart" uri="{C3380CC4-5D6E-409C-BE32-E72D297353CC}">
              <c16:uniqueId val="{00000000-F9D1-4E03-831F-0B7F7B1C56AF}"/>
            </c:ext>
          </c:extLst>
        </c:ser>
        <c:ser>
          <c:idx val="1"/>
          <c:order val="1"/>
          <c:tx>
            <c:strRef>
              <c:f>'Gas Prod. , Con.'!$C$3</c:f>
              <c:strCache>
                <c:ptCount val="1"/>
                <c:pt idx="0">
                  <c:v>Sum of Gas Consumption (TWH eq)</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'Gas Prod. , Con.'!$A$4:$A$8</c:f>
              <c:strCache>
                <c:ptCount val="4"/>
                <c:pt idx="0">
                  <c:v>2000</c:v>
                </c:pt>
                <c:pt idx="1">
                  <c:v>2001</c:v>
                </c:pt>
                <c:pt idx="2">
                  <c:v>2002</c:v>
                </c:pt>
                <c:pt idx="3">
                  <c:v>2003</c:v>
                </c:pt>
              </c:strCache>
            </c:strRef>
          </c:cat>
          <c:val>
            <c:numRef>
              <c:f>'Gas Prod. , Con.'!$C$4:$C$8</c:f>
              <c:numCache>
                <c:formatCode>General</c:formatCode>
                <c:ptCount val="4"/>
                <c:pt idx="0">
                  <c:v>192.5</c:v>
                </c:pt>
                <c:pt idx="1">
                  <c:v>235.81200000000001</c:v>
                </c:pt>
                <c:pt idx="2">
                  <c:v>255.06200000000001</c:v>
                </c:pt>
                <c:pt idx="3">
                  <c:v>285.86200000000002</c:v>
                </c:pt>
              </c:numCache>
            </c:numRef>
          </c:val>
          <c:smooth val="0"/>
          <c:extLst>
            <c:ext xmlns:c16="http://schemas.microsoft.com/office/drawing/2014/chart" uri="{C3380CC4-5D6E-409C-BE32-E72D297353CC}">
              <c16:uniqueId val="{00000000-D0A8-4970-BCF9-1AFF9F0BD7B5}"/>
            </c:ext>
          </c:extLst>
        </c:ser>
        <c:dLbls>
          <c:showLegendKey val="0"/>
          <c:showVal val="0"/>
          <c:showCatName val="0"/>
          <c:showSerName val="0"/>
          <c:showPercent val="0"/>
          <c:showBubbleSize val="0"/>
        </c:dLbls>
        <c:marker val="1"/>
        <c:smooth val="0"/>
        <c:axId val="1627260448"/>
        <c:axId val="1627260928"/>
      </c:lineChart>
      <c:catAx>
        <c:axId val="162726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60928"/>
        <c:crosses val="autoZero"/>
        <c:auto val="1"/>
        <c:lblAlgn val="ctr"/>
        <c:lblOffset val="100"/>
        <c:noMultiLvlLbl val="0"/>
      </c:catAx>
      <c:valAx>
        <c:axId val="162726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6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[Egypt_Energy_Project6.xlsx]Oil Prod. , Con.!PivotTable7</c:name>
    <c:fmtId val="17"/>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'Oil Prod. , Con.'!$B$3</c:f>
              <c:strCache>
                <c:ptCount val="1"/>
                <c:pt idx="0">
                  <c:v>Sum of Oil Production (TWH eq)</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'Oil Prod. , Con.'!$A$4:$A$8</c:f>
              <c:strCache>
                <c:ptCount val="4"/>
                <c:pt idx="0">
                  <c:v>2000</c:v>
                </c:pt>
                <c:pt idx="1">
                  <c:v>2001</c:v>
                </c:pt>
                <c:pt idx="2">
                  <c:v>2002</c:v>
                </c:pt>
                <c:pt idx="3">
                  <c:v>2003</c:v>
                </c:pt>
              </c:strCache>
            </c:strRef>
          </c:cat>
          <c:val>
            <c:numRef>
              <c:f>'Oil Prod. , Con.'!$B$4:$B$8</c:f>
              <c:numCache>
                <c:formatCode>General</c:formatCode>
                <c:ptCount val="4"/>
                <c:pt idx="0">
                  <c:v>452.60500000000002</c:v>
                </c:pt>
                <c:pt idx="1">
                  <c:v>437.28899999999999</c:v>
                </c:pt>
                <c:pt idx="2">
                  <c:v>433.108</c:v>
                </c:pt>
                <c:pt idx="3">
                  <c:v>431.15300000000002</c:v>
                </c:pt>
              </c:numCache>
            </c:numRef>
          </c:val>
          <c:smooth val="0"/>
          <c:extLst>
            <c:ext xmlns:c16="http://schemas.microsoft.com/office/drawing/2014/chart" uri="{C3380CC4-5D6E-409C-BE32-E72D297353CC}">
              <c16:uniqueId val="{00000000-ED52-4931-BACE-F34AB9DE275E}"/>
            </c:ext>
          </c:extLst>
        </c:ser>
        <c:ser>
          <c:idx val="1"/>
          <c:order val="1"/>
          <c:tx>
            <c:strRef>
              <c:f>'Oil Prod. , Con.'!$C$3</c:f>
              <c:strCache>
                <c:ptCount val="1"/>
                <c:pt idx="0">
                  <c:v>Sum of Oil Consumption (TWH eq)</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'Oil Prod. , Con.'!$A$4:$A$8</c:f>
              <c:strCache>
                <c:ptCount val="4"/>
                <c:pt idx="0">
                  <c:v>2000</c:v>
                </c:pt>
                <c:pt idx="1">
                  <c:v>2001</c:v>
                </c:pt>
                <c:pt idx="2">
                  <c:v>2002</c:v>
                </c:pt>
                <c:pt idx="3">
                  <c:v>2003</c:v>
                </c:pt>
              </c:strCache>
            </c:strRef>
          </c:cat>
          <c:val>
            <c:numRef>
              <c:f>'Oil Prod. , Con.'!$C$4:$C$8</c:f>
              <c:numCache>
                <c:formatCode>General</c:formatCode>
                <c:ptCount val="4"/>
                <c:pt idx="0">
                  <c:v>323.75900000000001</c:v>
                </c:pt>
                <c:pt idx="1">
                  <c:v>305.73399999999998</c:v>
                </c:pt>
                <c:pt idx="2">
                  <c:v>304.16800000000001</c:v>
                </c:pt>
                <c:pt idx="3">
                  <c:v>311.87799999999999</c:v>
                </c:pt>
              </c:numCache>
            </c:numRef>
          </c:val>
          <c:smooth val="0"/>
          <c:extLst>
            <c:ext xmlns:c16="http://schemas.microsoft.com/office/drawing/2014/chart" uri="{C3380CC4-5D6E-409C-BE32-E72D297353CC}">
              <c16:uniqueId val="{00000001-D491-40CB-84D4-A935A1C00447}"/>
            </c:ext>
          </c:extLst>
        </c:ser>
        <c:dLbls>
          <c:showLegendKey val="0"/>
          <c:showVal val="0"/>
          <c:showCatName val="0"/>
          <c:showSerName val="0"/>
          <c:showPercent val="0"/>
          <c:showBubbleSize val="0"/>
        </c:dLbls>
        <c:marker val="1"/>
        <c:smooth val="0"/>
        <c:axId val="1659161520"/>
        <c:axId val="1659162000"/>
      </c:lineChart>
      <c:catAx>
        <c:axId val="165916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62000"/>
        <c:crosses val="autoZero"/>
        <c:auto val="1"/>
        <c:lblAlgn val="ctr"/>
        <c:lblOffset val="100"/>
        <c:noMultiLvlLbl val="0"/>
      </c:catAx>
      <c:valAx>
        <c:axId val="16591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16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[Egypt_Energy_Project6.xlsx]Sheet12!PivotTable19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Sheet12!$B$4</c:f>
              <c:strCache>
                <c:ptCount val="1"/>
                <c:pt idx="0">
                  <c:v>Total</c:v>
                </c:pt>
              </c:strCache>
            </c:strRef>
          </c:tx>
          <c:spPr>
            <a:solidFill>
              <a:schemeClr val="accent1"/>
            </a:solidFill>
            <a:ln>
              <a:noFill/>
            </a:ln>
            <a:effectLst/>
          </c:spPr>
          <c:invertIfNegative val="0"/>
          <c:cat>
            <c:strRef>
              <c:f>Sheet12!$A$5:$A$21</c:f>
              <c:strCache>
                <c:ptCount val="16"/>
                <c:pt idx="0">
                  <c:v>Algeria</c:v>
                </c:pt>
                <c:pt idx="1">
                  <c:v>Egypt</c:v>
                </c:pt>
                <c:pt idx="2">
                  <c:v>Ethiopia</c:v>
                </c:pt>
                <c:pt idx="3">
                  <c:v>Iran</c:v>
                </c:pt>
                <c:pt idx="4">
                  <c:v>Iraq</c:v>
                </c:pt>
                <c:pt idx="5">
                  <c:v>Israel</c:v>
                </c:pt>
                <c:pt idx="6">
                  <c:v>Jordan</c:v>
                </c:pt>
                <c:pt idx="7">
                  <c:v>Libya</c:v>
                </c:pt>
                <c:pt idx="8">
                  <c:v>Morocco</c:v>
                </c:pt>
                <c:pt idx="9">
                  <c:v>Nigeria</c:v>
                </c:pt>
                <c:pt idx="10">
                  <c:v>Saudi Arabia</c:v>
                </c:pt>
                <c:pt idx="11">
                  <c:v>South Africa</c:v>
                </c:pt>
                <c:pt idx="12">
                  <c:v>Sudan</c:v>
                </c:pt>
                <c:pt idx="13">
                  <c:v>Tunisia</c:v>
                </c:pt>
                <c:pt idx="14">
                  <c:v>Turkey</c:v>
                </c:pt>
                <c:pt idx="15">
                  <c:v>United Arab Emirates</c:v>
                </c:pt>
              </c:strCache>
            </c:strRef>
          </c:cat>
          <c:val>
            <c:numRef>
              <c:f>Sheet12!$B$5:$B$21</c:f>
              <c:numCache>
                <c:formatCode>General</c:formatCode>
                <c:ptCount val="16"/>
                <c:pt idx="0">
                  <c:v>-2.44</c:v>
                </c:pt>
                <c:pt idx="1">
                  <c:v>-1.39</c:v>
                </c:pt>
                <c:pt idx="2">
                  <c:v>-1.78</c:v>
                </c:pt>
                <c:pt idx="3">
                  <c:v>-6.73</c:v>
                </c:pt>
                <c:pt idx="4">
                  <c:v>6.82</c:v>
                </c:pt>
                <c:pt idx="5">
                  <c:v>-6.93</c:v>
                </c:pt>
                <c:pt idx="6">
                  <c:v>7.0000000000000007E-2</c:v>
                </c:pt>
                <c:pt idx="7">
                  <c:v>0</c:v>
                </c:pt>
                <c:pt idx="8">
                  <c:v>1.85</c:v>
                </c:pt>
                <c:pt idx="9">
                  <c:v>-2.3199999999999998</c:v>
                </c:pt>
                <c:pt idx="10">
                  <c:v>-0.04</c:v>
                </c:pt>
                <c:pt idx="11">
                  <c:v>-0.55000000000000004</c:v>
                </c:pt>
                <c:pt idx="12">
                  <c:v>0.65</c:v>
                </c:pt>
                <c:pt idx="13">
                  <c:v>2.5</c:v>
                </c:pt>
                <c:pt idx="14">
                  <c:v>4.0199999999999996</c:v>
                </c:pt>
                <c:pt idx="15">
                  <c:v>-0.1</c:v>
                </c:pt>
              </c:numCache>
            </c:numRef>
          </c:val>
          <c:extLst>
            <c:ext xmlns:c16="http://schemas.microsoft.com/office/drawing/2014/chart" uri="{C3380CC4-5D6E-409C-BE32-E72D297353CC}">
              <c16:uniqueId val="{00000000-4BC4-418E-9B03-3A531C09C0DB}"/>
            </c:ext>
          </c:extLst>
        </c:ser>
        <c:dLbls>
          <c:showLegendKey val="0"/>
          <c:showVal val="0"/>
          <c:showCatName val="0"/>
          <c:showSerName val="0"/>
          <c:showPercent val="0"/>
          <c:showBubbleSize val="0"/>
        </c:dLbls>
        <c:gapWidth val="182"/>
        <c:axId val="1868598848"/>
        <c:axId val="1868588288"/>
      </c:barChart>
      <c:catAx>
        <c:axId val="186859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88288"/>
        <c:crosses val="autoZero"/>
        <c:auto val="1"/>
        <c:lblAlgn val="ctr"/>
        <c:lblOffset val="100"/>
        <c:noMultiLvlLbl val="0"/>
      </c:catAx>
      <c:valAx>
        <c:axId val="186858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9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[Egypt_Energy_Project6.xlsx]Trade_Analysis!PivotTable14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7077865266843"/>
          <c:y val="6.70040709717247E-2"/>
          <c:w val="0.48402887139107614"/>
          <c:h val="0.82133724434675337"/>
        </c:manualLayout>
      </c:layout>
      <c:barChart>
        <c:barDir val="bar"/>
        <c:grouping val="clustered"/>
        <c:varyColors val="0"/>
        <c:ser>
          <c:idx val="0"/>
          <c:order val="0"/>
          <c:tx>
            <c:strRef>
              <c:f>Trade_Analysis!$N$8</c:f>
              <c:strCache>
                <c:ptCount val="1"/>
                <c:pt idx="0">
                  <c:v>Sum of Gas Net Balance (Prod-Cons, TWh eq)</c:v>
                </c:pt>
              </c:strCache>
            </c:strRef>
          </c:tx>
          <c:spPr>
            <a:solidFill>
              <a:schemeClr val="accent1"/>
            </a:solidFill>
            <a:ln>
              <a:noFill/>
            </a:ln>
            <a:effectLst/>
          </c:spPr>
          <c:invertIfNegative val="0"/>
          <c:cat>
            <c:strRef>
              <c:f>Trade_Analysis!$M$9:$M$33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Trade_Analysis!$N$9:$N$33</c:f>
              <c:numCache>
                <c:formatCode>General</c:formatCode>
                <c:ptCount val="24"/>
                <c:pt idx="0">
                  <c:v>9.625</c:v>
                </c:pt>
                <c:pt idx="1">
                  <c:v>6.7379999999999995</c:v>
                </c:pt>
                <c:pt idx="2">
                  <c:v>7.700999999999965</c:v>
                </c:pt>
                <c:pt idx="3">
                  <c:v>3.8509999999999991</c:v>
                </c:pt>
                <c:pt idx="4">
                  <c:v>12.512999999999977</c:v>
                </c:pt>
                <c:pt idx="5">
                  <c:v>104.91200000000003</c:v>
                </c:pt>
                <c:pt idx="6">
                  <c:v>175.17499999999995</c:v>
                </c:pt>
                <c:pt idx="7">
                  <c:v>166.80099999999999</c:v>
                </c:pt>
                <c:pt idx="8">
                  <c:v>174.50100000000003</c:v>
                </c:pt>
                <c:pt idx="9">
                  <c:v>193.94399999999996</c:v>
                </c:pt>
                <c:pt idx="10">
                  <c:v>156.02100000000002</c:v>
                </c:pt>
                <c:pt idx="11">
                  <c:v>113.83999999999997</c:v>
                </c:pt>
                <c:pt idx="12">
                  <c:v>79.61099999999999</c:v>
                </c:pt>
                <c:pt idx="13">
                  <c:v>44.634000000000015</c:v>
                </c:pt>
                <c:pt idx="14">
                  <c:v>7.4230000000000018</c:v>
                </c:pt>
                <c:pt idx="15">
                  <c:v>-34.281999999999982</c:v>
                </c:pt>
                <c:pt idx="16">
                  <c:v>-91.024000000000001</c:v>
                </c:pt>
                <c:pt idx="17">
                  <c:v>-71.214999999999975</c:v>
                </c:pt>
                <c:pt idx="18">
                  <c:v>-10.362999999999943</c:v>
                </c:pt>
                <c:pt idx="19">
                  <c:v>59.00100000000009</c:v>
                </c:pt>
                <c:pt idx="20">
                  <c:v>1.5730000000000928</c:v>
                </c:pt>
                <c:pt idx="21">
                  <c:v>56.745999999999981</c:v>
                </c:pt>
                <c:pt idx="22">
                  <c:v>38.972999999999956</c:v>
                </c:pt>
                <c:pt idx="23">
                  <c:v>-29.385999999999967</c:v>
                </c:pt>
              </c:numCache>
            </c:numRef>
          </c:val>
          <c:extLst>
            <c:ext xmlns:c16="http://schemas.microsoft.com/office/drawing/2014/chart" uri="{C3380CC4-5D6E-409C-BE32-E72D297353CC}">
              <c16:uniqueId val="{00000000-169B-4CD4-BDFC-BA08465C5E54}"/>
            </c:ext>
          </c:extLst>
        </c:ser>
        <c:ser>
          <c:idx val="1"/>
          <c:order val="1"/>
          <c:tx>
            <c:strRef>
              <c:f>Trade_Analysis!$O$8</c:f>
              <c:strCache>
                <c:ptCount val="1"/>
                <c:pt idx="0">
                  <c:v>Sum of Oil Net Balance (Prod-Cons, TWh eq)</c:v>
                </c:pt>
              </c:strCache>
            </c:strRef>
          </c:tx>
          <c:spPr>
            <a:solidFill>
              <a:schemeClr val="accent2"/>
            </a:solidFill>
            <a:ln>
              <a:noFill/>
            </a:ln>
            <a:effectLst/>
          </c:spPr>
          <c:invertIfNegative val="0"/>
          <c:cat>
            <c:strRef>
              <c:f>Trade_Analysis!$M$9:$M$33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Trade_Analysis!$O$9:$O$33</c:f>
              <c:numCache>
                <c:formatCode>0.00</c:formatCode>
                <c:ptCount val="24"/>
                <c:pt idx="0">
                  <c:v>128.846</c:v>
                </c:pt>
                <c:pt idx="1">
                  <c:v>131.55500000000001</c:v>
                </c:pt>
                <c:pt idx="2">
                  <c:v>128.94</c:v>
                </c:pt>
                <c:pt idx="3">
                  <c:v>119.27500000000003</c:v>
                </c:pt>
                <c:pt idx="4">
                  <c:v>76.798999999999978</c:v>
                </c:pt>
                <c:pt idx="5">
                  <c:v>38.031999999999982</c:v>
                </c:pt>
                <c:pt idx="6">
                  <c:v>48.339999999999975</c:v>
                </c:pt>
                <c:pt idx="7">
                  <c:v>28.923000000000002</c:v>
                </c:pt>
                <c:pt idx="8">
                  <c:v>17.412999999999954</c:v>
                </c:pt>
                <c:pt idx="9">
                  <c:v>6.4130000000000109</c:v>
                </c:pt>
                <c:pt idx="10">
                  <c:v>-8.1949999999999932</c:v>
                </c:pt>
                <c:pt idx="11">
                  <c:v>-15.835999999999956</c:v>
                </c:pt>
                <c:pt idx="12">
                  <c:v>-24.361000000000047</c:v>
                </c:pt>
                <c:pt idx="13">
                  <c:v>-33.70799999999997</c:v>
                </c:pt>
                <c:pt idx="14">
                  <c:v>-46.607000000000028</c:v>
                </c:pt>
                <c:pt idx="15">
                  <c:v>-52.47399999999999</c:v>
                </c:pt>
                <c:pt idx="16">
                  <c:v>-86.677000000000021</c:v>
                </c:pt>
                <c:pt idx="17">
                  <c:v>-81.98599999999999</c:v>
                </c:pt>
                <c:pt idx="18">
                  <c:v>-24.468999999999994</c:v>
                </c:pt>
                <c:pt idx="19">
                  <c:v>-13.639999999999986</c:v>
                </c:pt>
                <c:pt idx="20">
                  <c:v>28.622000000000014</c:v>
                </c:pt>
                <c:pt idx="21">
                  <c:v>-15.302999999999997</c:v>
                </c:pt>
                <c:pt idx="22">
                  <c:v>-75.836000000000013</c:v>
                </c:pt>
                <c:pt idx="23">
                  <c:v>-68.720000000000027</c:v>
                </c:pt>
              </c:numCache>
            </c:numRef>
          </c:val>
          <c:extLst>
            <c:ext xmlns:c16="http://schemas.microsoft.com/office/drawing/2014/chart" uri="{C3380CC4-5D6E-409C-BE32-E72D297353CC}">
              <c16:uniqueId val="{00000001-169B-4CD4-BDFC-BA08465C5E54}"/>
            </c:ext>
          </c:extLst>
        </c:ser>
        <c:dLbls>
          <c:showLegendKey val="0"/>
          <c:showVal val="0"/>
          <c:showCatName val="0"/>
          <c:showSerName val="0"/>
          <c:showPercent val="0"/>
          <c:showBubbleSize val="0"/>
        </c:dLbls>
        <c:gapWidth val="182"/>
        <c:axId val="1262878752"/>
        <c:axId val="1262915232"/>
      </c:barChart>
      <c:catAx>
        <c:axId val="12628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8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915232"/>
        <c:crosses val="autoZero"/>
        <c:auto val="1"/>
        <c:lblAlgn val="ctr"/>
        <c:lblOffset val="1000"/>
        <c:noMultiLvlLbl val="0"/>
      </c:catAx>
      <c:valAx>
        <c:axId val="1262915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87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[Egypt_Energy_Project6.xlsx]Trade_Analysis!PivotTable18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Trade_Analysis!$F$48</c:f>
              <c:strCache>
                <c:ptCount val="1"/>
                <c:pt idx="0">
                  <c:v>Total</c:v>
                </c:pt>
              </c:strCache>
            </c:strRef>
          </c:tx>
          <c:spPr>
            <a:solidFill>
              <a:schemeClr val="accent1"/>
            </a:solidFill>
            <a:ln>
              <a:noFill/>
            </a:ln>
            <a:effectLst/>
          </c:spPr>
          <c:invertIfNegative val="1"/>
          <c:cat>
            <c:strRef>
              <c:f>Trade_Analysis!$E$49:$E$65</c:f>
              <c:strCache>
                <c:ptCount val="16"/>
                <c:pt idx="0">
                  <c:v>Algeria</c:v>
                </c:pt>
                <c:pt idx="1">
                  <c:v>Egypt</c:v>
                </c:pt>
                <c:pt idx="2">
                  <c:v>Ethiopia</c:v>
                </c:pt>
                <c:pt idx="3">
                  <c:v>Iran</c:v>
                </c:pt>
                <c:pt idx="4">
                  <c:v>Iraq</c:v>
                </c:pt>
                <c:pt idx="5">
                  <c:v>Israel</c:v>
                </c:pt>
                <c:pt idx="6">
                  <c:v>Jordan</c:v>
                </c:pt>
                <c:pt idx="7">
                  <c:v>Libya</c:v>
                </c:pt>
                <c:pt idx="8">
                  <c:v>Morocco</c:v>
                </c:pt>
                <c:pt idx="9">
                  <c:v>Nigeria</c:v>
                </c:pt>
                <c:pt idx="10">
                  <c:v>Saudi Arabia</c:v>
                </c:pt>
                <c:pt idx="11">
                  <c:v>South Africa</c:v>
                </c:pt>
                <c:pt idx="12">
                  <c:v>Sudan</c:v>
                </c:pt>
                <c:pt idx="13">
                  <c:v>Tunisia</c:v>
                </c:pt>
                <c:pt idx="14">
                  <c:v>Turkey</c:v>
                </c:pt>
                <c:pt idx="15">
                  <c:v>United Arab Emirates</c:v>
                </c:pt>
              </c:strCache>
            </c:strRef>
          </c:cat>
          <c:val>
            <c:numRef>
              <c:f>Trade_Analysis!$F$49:$F$65</c:f>
              <c:numCache>
                <c:formatCode>General</c:formatCode>
                <c:ptCount val="16"/>
                <c:pt idx="0">
                  <c:v>-2.44</c:v>
                </c:pt>
                <c:pt idx="1">
                  <c:v>-1.39</c:v>
                </c:pt>
                <c:pt idx="2">
                  <c:v>-1.78</c:v>
                </c:pt>
                <c:pt idx="3">
                  <c:v>-6.73</c:v>
                </c:pt>
                <c:pt idx="4">
                  <c:v>6.82</c:v>
                </c:pt>
                <c:pt idx="5">
                  <c:v>-6.93</c:v>
                </c:pt>
                <c:pt idx="6">
                  <c:v>7.0000000000000007E-2</c:v>
                </c:pt>
                <c:pt idx="7">
                  <c:v>0</c:v>
                </c:pt>
                <c:pt idx="8">
                  <c:v>1.85</c:v>
                </c:pt>
                <c:pt idx="9">
                  <c:v>-2.3199999999999998</c:v>
                </c:pt>
                <c:pt idx="10">
                  <c:v>-0.04</c:v>
                </c:pt>
                <c:pt idx="11">
                  <c:v>-0.55000000000000004</c:v>
                </c:pt>
                <c:pt idx="12">
                  <c:v>0.65</c:v>
                </c:pt>
                <c:pt idx="13">
                  <c:v>2.5</c:v>
                </c:pt>
                <c:pt idx="14">
                  <c:v>4.0199999999999996</c:v>
                </c:pt>
                <c:pt idx="15">
                  <c:v>-0.1</c:v>
                </c:pt>
              </c:numCache>
            </c:numRef>
          </c:val>
          <c:extLst>
            <c:ext xmlns:c16="http://schemas.microsoft.com/office/drawing/2014/chart" uri="{C3380CC4-5D6E-409C-BE32-E72D297353CC}">
              <c16:uniqueId val="{00000000-21A8-4D64-B7DC-755FD01A0436}"/>
            </c:ext>
          </c:extLst>
        </c:ser>
        <c:dLbls>
          <c:showLegendKey val="0"/>
          <c:showVal val="0"/>
          <c:showCatName val="0"/>
          <c:showSerName val="0"/>
          <c:showPercent val="0"/>
          <c:showBubbleSize val="0"/>
        </c:dLbls>
        <c:gapWidth val="182"/>
        <c:axId val="1518374480"/>
        <c:axId val="1518375920"/>
      </c:barChart>
      <c:catAx>
        <c:axId val="15183744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75920"/>
        <c:crosses val="autoZero"/>
        <c:auto val="1"/>
        <c:lblAlgn val="ctr"/>
        <c:lblOffset val="1000"/>
        <c:noMultiLvlLbl val="0"/>
      </c:catAx>
      <c:valAx>
        <c:axId val="151837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7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[Egypt_Energy_Project6.xlsx]Electricity Price History!PivotTable15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'Electricity Price History'!$O$21</c:f>
              <c:strCache>
                <c:ptCount val="1"/>
                <c:pt idx="0">
                  <c:v>Total</c:v>
                </c:pt>
              </c:strCache>
            </c:strRef>
          </c:tx>
          <c:spPr>
            <a:solidFill>
              <a:schemeClr val="accent1"/>
            </a:solidFill>
            <a:ln>
              <a:noFill/>
            </a:ln>
            <a:effectLst/>
          </c:spPr>
          <c:invertIfNegative val="0"/>
          <c:cat>
            <c:strRef>
              <c:f>'Electricity Price History'!$N$22:$N$46</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'Electricity Price History'!$O$22:$O$46</c:f>
              <c:numCache>
                <c:formatCode>General</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7.4999999999999997E-2</c:v>
                </c:pt>
                <c:pt idx="15">
                  <c:v>7.4999999999999997E-2</c:v>
                </c:pt>
                <c:pt idx="16">
                  <c:v>0.1</c:v>
                </c:pt>
                <c:pt idx="17">
                  <c:v>0.13</c:v>
                </c:pt>
                <c:pt idx="18">
                  <c:v>0.22</c:v>
                </c:pt>
                <c:pt idx="19">
                  <c:v>0.3</c:v>
                </c:pt>
                <c:pt idx="20">
                  <c:v>0.38</c:v>
                </c:pt>
                <c:pt idx="21">
                  <c:v>0.48</c:v>
                </c:pt>
                <c:pt idx="22">
                  <c:v>0.57999999999999996</c:v>
                </c:pt>
                <c:pt idx="23">
                  <c:v>0.68</c:v>
                </c:pt>
              </c:numCache>
            </c:numRef>
          </c:val>
          <c:extLst>
            <c:ext xmlns:c16="http://schemas.microsoft.com/office/drawing/2014/chart" uri="{C3380CC4-5D6E-409C-BE32-E72D297353CC}">
              <c16:uniqueId val="{00000000-235E-4D6F-95EA-5803EA3A5886}"/>
            </c:ext>
          </c:extLst>
        </c:ser>
        <c:dLbls>
          <c:showLegendKey val="0"/>
          <c:showVal val="0"/>
          <c:showCatName val="0"/>
          <c:showSerName val="0"/>
          <c:showPercent val="0"/>
          <c:showBubbleSize val="0"/>
        </c:dLbls>
        <c:gapWidth val="219"/>
        <c:axId val="1868536928"/>
        <c:axId val="1868537888"/>
      </c:barChart>
      <c:catAx>
        <c:axId val="186853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37888"/>
        <c:crosses val="autoZero"/>
        <c:auto val="1"/>
        <c:lblAlgn val="ctr"/>
        <c:lblOffset val="100"/>
        <c:noMultiLvlLbl val="0"/>
      </c:catAx>
      <c:valAx>
        <c:axId val="18685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[Egypt_Energy_Project6.xlsx]ELC Prod. , Demand!PivotTable2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444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44450" cap="rnd">
            <a:solidFill>
              <a:schemeClr val="accent1"/>
            </a:solidFill>
            <a:round/>
          </a:ln>
          <a:effectLst/>
        </c:spPr>
        <c:marker>
          <c:symbol val="circle"/>
          <c:size val="5"/>
          <c:spPr>
            <a:solidFill>
              <a:schemeClr val="bg1"/>
            </a:solidFill>
            <a:ln w="412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'ELC Prod. , Demand'!$B$3</c:f>
              <c:strCache>
                <c:ptCount val="1"/>
                <c:pt idx="0">
                  <c:v>Sum of Electricity Generation(TWH)</c:v>
                </c:pt>
              </c:strCache>
            </c:strRef>
          </c:tx>
          <c:spPr>
            <a:ln w="44450" cap="rnd">
              <a:solidFill>
                <a:schemeClr val="accent1"/>
              </a:solidFill>
              <a:round/>
            </a:ln>
            <a:effectLst/>
          </c:spPr>
          <c:marker>
            <c:symbol val="circle"/>
            <c:size val="5"/>
            <c:spPr>
              <a:solidFill>
                <a:schemeClr val="bg1"/>
              </a:solidFill>
              <a:ln w="41275">
                <a:solidFill>
                  <a:schemeClr val="bg1"/>
                </a:solidFill>
              </a:ln>
              <a:effectLst/>
            </c:spPr>
          </c:marker>
          <c:cat>
            <c:strRef>
              <c:f>'ELC Prod. , Demand'!$A$4:$A$8</c:f>
              <c:strCache>
                <c:ptCount val="4"/>
                <c:pt idx="0">
                  <c:v>2000</c:v>
                </c:pt>
                <c:pt idx="1">
                  <c:v>2001</c:v>
                </c:pt>
                <c:pt idx="2">
                  <c:v>2002</c:v>
                </c:pt>
                <c:pt idx="3">
                  <c:v>2003</c:v>
                </c:pt>
              </c:strCache>
            </c:strRef>
          </c:cat>
          <c:val>
            <c:numRef>
              <c:f>'ELC Prod. , Demand'!$B$4:$B$8</c:f>
              <c:numCache>
                <c:formatCode>General</c:formatCode>
                <c:ptCount val="4"/>
                <c:pt idx="0">
                  <c:v>73.319999999999993</c:v>
                </c:pt>
                <c:pt idx="1">
                  <c:v>80.709999999999994</c:v>
                </c:pt>
                <c:pt idx="2">
                  <c:v>86.23</c:v>
                </c:pt>
                <c:pt idx="3">
                  <c:v>92.19</c:v>
                </c:pt>
              </c:numCache>
            </c:numRef>
          </c:val>
          <c:smooth val="0"/>
          <c:extLst>
            <c:ext xmlns:c16="http://schemas.microsoft.com/office/drawing/2014/chart" uri="{C3380CC4-5D6E-409C-BE32-E72D297353CC}">
              <c16:uniqueId val="{00000000-218A-4978-9359-E2DE1A4A8327}"/>
            </c:ext>
          </c:extLst>
        </c:ser>
        <c:ser>
          <c:idx val="1"/>
          <c:order val="1"/>
          <c:tx>
            <c:strRef>
              <c:f>'ELC Prod. , Demand'!$C$3</c:f>
              <c:strCache>
                <c:ptCount val="1"/>
                <c:pt idx="0">
                  <c:v>Sum of Electricity Demand (TWH0</c:v>
                </c:pt>
              </c:strCache>
            </c:strRef>
          </c:tx>
          <c:spPr>
            <a:ln w="44450" cap="rnd">
              <a:solidFill>
                <a:schemeClr val="accent2"/>
              </a:solidFill>
              <a:round/>
            </a:ln>
            <a:effectLst/>
          </c:spPr>
          <c:marker>
            <c:symbol val="circle"/>
            <c:size val="5"/>
            <c:spPr>
              <a:solidFill>
                <a:schemeClr val="accent2"/>
              </a:solidFill>
              <a:ln w="9525">
                <a:solidFill>
                  <a:schemeClr val="accent2"/>
                </a:solidFill>
              </a:ln>
              <a:effectLst/>
            </c:spPr>
          </c:marker>
          <c:cat>
            <c:strRef>
              <c:f>'ELC Prod. , Demand'!$A$4:$A$8</c:f>
              <c:strCache>
                <c:ptCount val="4"/>
                <c:pt idx="0">
                  <c:v>2000</c:v>
                </c:pt>
                <c:pt idx="1">
                  <c:v>2001</c:v>
                </c:pt>
                <c:pt idx="2">
                  <c:v>2002</c:v>
                </c:pt>
                <c:pt idx="3">
                  <c:v>2003</c:v>
                </c:pt>
              </c:strCache>
            </c:strRef>
          </c:cat>
          <c:val>
            <c:numRef>
              <c:f>'ELC Prod. , Demand'!$C$4:$C$8</c:f>
              <c:numCache>
                <c:formatCode>#,##0.00</c:formatCode>
                <c:ptCount val="4"/>
                <c:pt idx="0">
                  <c:v>73.17</c:v>
                </c:pt>
                <c:pt idx="1">
                  <c:v>80.5</c:v>
                </c:pt>
                <c:pt idx="2">
                  <c:v>85.45</c:v>
                </c:pt>
                <c:pt idx="3">
                  <c:v>91.27</c:v>
                </c:pt>
              </c:numCache>
            </c:numRef>
          </c:val>
          <c:smooth val="0"/>
          <c:extLst>
            <c:ext xmlns:c16="http://schemas.microsoft.com/office/drawing/2014/chart" uri="{C3380CC4-5D6E-409C-BE32-E72D297353CC}">
              <c16:uniqueId val="{00000001-218A-4978-9359-E2DE1A4A8327}"/>
            </c:ext>
          </c:extLst>
        </c:ser>
        <c:dLbls>
          <c:showLegendKey val="0"/>
          <c:showVal val="0"/>
          <c:showCatName val="0"/>
          <c:showSerName val="0"/>
          <c:showPercent val="0"/>
          <c:showBubbleSize val="0"/>
        </c:dLbls>
        <c:marker val="1"/>
        <c:smooth val="0"/>
        <c:axId val="1627209088"/>
        <c:axId val="1627202368"/>
      </c:lineChart>
      <c:catAx>
        <c:axId val="16272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627202368"/>
        <c:crosses val="autoZero"/>
        <c:auto val="1"/>
        <c:lblAlgn val="ctr"/>
        <c:lblOffset val="100"/>
        <c:noMultiLvlLbl val="0"/>
      </c:catAx>
      <c:valAx>
        <c:axId val="162720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62720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[Egypt_Energy_Project6.xlsx]Oil Prod. , Con.!PivotTable7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44450" cap="rnd">
            <a:solidFill>
              <a:schemeClr val="accent1"/>
            </a:solidFill>
            <a:round/>
          </a:ln>
          <a:effectLst/>
        </c:spPr>
        <c:marker>
          <c:symbol val="circle"/>
          <c:size val="5"/>
          <c:spPr>
            <a:solidFill>
              <a:schemeClr val="bg1"/>
            </a:solidFill>
            <a:ln w="3810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'Oil Prod. , Con.'!$B$3</c:f>
              <c:strCache>
                <c:ptCount val="1"/>
                <c:pt idx="0">
                  <c:v>Sum of Oil Production (TWH eq)</c:v>
                </c:pt>
              </c:strCache>
            </c:strRef>
          </c:tx>
          <c:spPr>
            <a:ln w="44450" cap="rnd">
              <a:solidFill>
                <a:schemeClr val="accent1"/>
              </a:solidFill>
              <a:round/>
            </a:ln>
            <a:effectLst/>
          </c:spPr>
          <c:marker>
            <c:symbol val="circle"/>
            <c:size val="5"/>
            <c:spPr>
              <a:solidFill>
                <a:schemeClr val="bg1"/>
              </a:solidFill>
              <a:ln w="38100">
                <a:solidFill>
                  <a:schemeClr val="bg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'Oil Prod. , Con.'!$A$4:$A$8</c:f>
              <c:strCache>
                <c:ptCount val="4"/>
                <c:pt idx="0">
                  <c:v>2000</c:v>
                </c:pt>
                <c:pt idx="1">
                  <c:v>2001</c:v>
                </c:pt>
                <c:pt idx="2">
                  <c:v>2002</c:v>
                </c:pt>
                <c:pt idx="3">
                  <c:v>2003</c:v>
                </c:pt>
              </c:strCache>
            </c:strRef>
          </c:cat>
          <c:val>
            <c:numRef>
              <c:f>'Oil Prod. , Con.'!$B$4:$B$8</c:f>
              <c:numCache>
                <c:formatCode>General</c:formatCode>
                <c:ptCount val="4"/>
                <c:pt idx="0">
                  <c:v>452.60500000000002</c:v>
                </c:pt>
                <c:pt idx="1">
                  <c:v>437.28899999999999</c:v>
                </c:pt>
                <c:pt idx="2">
                  <c:v>433.108</c:v>
                </c:pt>
                <c:pt idx="3">
                  <c:v>431.15300000000002</c:v>
                </c:pt>
              </c:numCache>
            </c:numRef>
          </c:val>
          <c:smooth val="0"/>
          <c:extLst>
            <c:ext xmlns:c16="http://schemas.microsoft.com/office/drawing/2014/chart" uri="{C3380CC4-5D6E-409C-BE32-E72D297353CC}">
              <c16:uniqueId val="{00000000-3162-4943-BEDD-8A46540F6A94}"/>
            </c:ext>
          </c:extLst>
        </c:ser>
        <c:ser>
          <c:idx val="1"/>
          <c:order val="1"/>
          <c:tx>
            <c:strRef>
              <c:f>'Oil Prod. , Con.'!$C$3</c:f>
              <c:strCache>
                <c:ptCount val="1"/>
                <c:pt idx="0">
                  <c:v>Sum of Oil Consumption (TWH eq)</c:v>
                </c:pt>
              </c:strCache>
            </c:strRef>
          </c:tx>
          <c:spPr>
            <a:ln w="444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cat>
            <c:strRef>
              <c:f>'Oil Prod. , Con.'!$A$4:$A$8</c:f>
              <c:strCache>
                <c:ptCount val="4"/>
                <c:pt idx="0">
                  <c:v>2000</c:v>
                </c:pt>
                <c:pt idx="1">
                  <c:v>2001</c:v>
                </c:pt>
                <c:pt idx="2">
                  <c:v>2002</c:v>
                </c:pt>
                <c:pt idx="3">
                  <c:v>2003</c:v>
                </c:pt>
              </c:strCache>
            </c:strRef>
          </c:cat>
          <c:val>
            <c:numRef>
              <c:f>'Oil Prod. , Con.'!$C$4:$C$8</c:f>
              <c:numCache>
                <c:formatCode>General</c:formatCode>
                <c:ptCount val="4"/>
                <c:pt idx="0">
                  <c:v>323.75900000000001</c:v>
                </c:pt>
                <c:pt idx="1">
                  <c:v>305.73399999999998</c:v>
                </c:pt>
                <c:pt idx="2">
                  <c:v>304.16800000000001</c:v>
                </c:pt>
                <c:pt idx="3">
                  <c:v>311.87799999999999</c:v>
                </c:pt>
              </c:numCache>
            </c:numRef>
          </c:val>
          <c:smooth val="0"/>
          <c:extLst>
            <c:ext xmlns:c16="http://schemas.microsoft.com/office/drawing/2014/chart" uri="{C3380CC4-5D6E-409C-BE32-E72D297353CC}">
              <c16:uniqueId val="{00000001-3162-4943-BEDD-8A46540F6A94}"/>
            </c:ext>
          </c:extLst>
        </c:ser>
        <c:dLbls>
          <c:dLblPos val="t"/>
          <c:showLegendKey val="0"/>
          <c:showVal val="0"/>
          <c:showCatName val="0"/>
          <c:showSerName val="0"/>
          <c:showPercent val="0"/>
          <c:showBubbleSize val="0"/>
        </c:dLbls>
        <c:marker val="1"/>
        <c:smooth val="0"/>
        <c:axId val="1659161520"/>
        <c:axId val="1659162000"/>
      </c:lineChart>
      <c:catAx>
        <c:axId val="165916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659162000"/>
        <c:crosses val="autoZero"/>
        <c:auto val="1"/>
        <c:lblAlgn val="ctr"/>
        <c:lblOffset val="100"/>
        <c:noMultiLvlLbl val="0"/>
      </c:catAx>
      <c:valAx>
        <c:axId val="16591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65916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[Egypt_Energy_Project6.xlsx]Oil Prod. , Con.!PivotTable7</c:name>
    <c:fmtId val="2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c:spPr>
        <c:marker>
          <c:symbol val="circle"/>
          <c:size val="5"/>
          <c:spPr>
            <a:solidFill>
              <a:schemeClr val="accent2"/>
            </a:solidFill>
            <a:ln w="4127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4450" cap="rnd">
            <a:solidFill>
              <a:schemeClr val="accent1"/>
            </a:solidFill>
            <a:round/>
          </a:ln>
          <a:effectLst/>
        </c:spPr>
        <c:marker>
          <c:symbol val="circle"/>
          <c:size val="5"/>
          <c:spPr>
            <a:solidFill>
              <a:schemeClr val="bg1"/>
            </a:solidFill>
            <a:ln w="412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'Oil Prod. , Con.'!$B$3</c:f>
              <c:strCache>
                <c:ptCount val="1"/>
                <c:pt idx="0">
                  <c:v>Sum of Oil Production (TWH eq)</c:v>
                </c:pt>
              </c:strCache>
            </c:strRef>
          </c:tx>
          <c:spPr>
            <a:ln w="44450" cap="rnd">
              <a:solidFill>
                <a:schemeClr val="accent1"/>
              </a:solidFill>
              <a:round/>
            </a:ln>
            <a:effectLst/>
          </c:spPr>
          <c:marker>
            <c:symbol val="circle"/>
            <c:size val="5"/>
            <c:spPr>
              <a:solidFill>
                <a:schemeClr val="bg1"/>
              </a:solidFill>
              <a:ln w="41275">
                <a:solidFill>
                  <a:schemeClr val="bg1"/>
                </a:solidFill>
              </a:ln>
              <a:effectLst/>
            </c:spPr>
          </c:marker>
          <c:cat>
            <c:strRef>
              <c:f>'Oil Prod. , Con.'!$A$4:$A$8</c:f>
              <c:strCache>
                <c:ptCount val="4"/>
                <c:pt idx="0">
                  <c:v>2000</c:v>
                </c:pt>
                <c:pt idx="1">
                  <c:v>2001</c:v>
                </c:pt>
                <c:pt idx="2">
                  <c:v>2002</c:v>
                </c:pt>
                <c:pt idx="3">
                  <c:v>2003</c:v>
                </c:pt>
              </c:strCache>
            </c:strRef>
          </c:cat>
          <c:val>
            <c:numRef>
              <c:f>'Oil Prod. , Con.'!$B$4:$B$8</c:f>
              <c:numCache>
                <c:formatCode>General</c:formatCode>
                <c:ptCount val="4"/>
                <c:pt idx="0">
                  <c:v>452.60500000000002</c:v>
                </c:pt>
                <c:pt idx="1">
                  <c:v>437.28899999999999</c:v>
                </c:pt>
                <c:pt idx="2">
                  <c:v>433.108</c:v>
                </c:pt>
                <c:pt idx="3">
                  <c:v>431.15300000000002</c:v>
                </c:pt>
              </c:numCache>
            </c:numRef>
          </c:val>
          <c:smooth val="0"/>
          <c:extLst>
            <c:ext xmlns:c16="http://schemas.microsoft.com/office/drawing/2014/chart" uri="{C3380CC4-5D6E-409C-BE32-E72D297353CC}">
              <c16:uniqueId val="{00000000-1B48-4D0F-9229-4C19E73E82A2}"/>
            </c:ext>
          </c:extLst>
        </c:ser>
        <c:ser>
          <c:idx val="1"/>
          <c:order val="1"/>
          <c:tx>
            <c:strRef>
              <c:f>'Oil Prod. , Con.'!$C$3</c:f>
              <c:strCache>
                <c:ptCount val="1"/>
                <c:pt idx="0">
                  <c:v>Sum of Oil Consumption (TWH eq)</c:v>
                </c:pt>
              </c:strCache>
            </c:strRef>
          </c:tx>
          <c:spPr>
            <a:ln w="44450" cap="rnd">
              <a:solidFill>
                <a:schemeClr val="accent2"/>
              </a:solidFill>
              <a:round/>
            </a:ln>
            <a:effectLst/>
          </c:spPr>
          <c:marker>
            <c:symbol val="circle"/>
            <c:size val="5"/>
            <c:spPr>
              <a:solidFill>
                <a:schemeClr val="accent2"/>
              </a:solidFill>
              <a:ln w="41275">
                <a:solidFill>
                  <a:schemeClr val="accent2"/>
                </a:solidFill>
              </a:ln>
              <a:effectLst/>
            </c:spPr>
          </c:marker>
          <c:cat>
            <c:strRef>
              <c:f>'Oil Prod. , Con.'!$A$4:$A$8</c:f>
              <c:strCache>
                <c:ptCount val="4"/>
                <c:pt idx="0">
                  <c:v>2000</c:v>
                </c:pt>
                <c:pt idx="1">
                  <c:v>2001</c:v>
                </c:pt>
                <c:pt idx="2">
                  <c:v>2002</c:v>
                </c:pt>
                <c:pt idx="3">
                  <c:v>2003</c:v>
                </c:pt>
              </c:strCache>
            </c:strRef>
          </c:cat>
          <c:val>
            <c:numRef>
              <c:f>'Oil Prod. , Con.'!$C$4:$C$8</c:f>
              <c:numCache>
                <c:formatCode>General</c:formatCode>
                <c:ptCount val="4"/>
                <c:pt idx="0">
                  <c:v>323.75900000000001</c:v>
                </c:pt>
                <c:pt idx="1">
                  <c:v>305.73399999999998</c:v>
                </c:pt>
                <c:pt idx="2">
                  <c:v>304.16800000000001</c:v>
                </c:pt>
                <c:pt idx="3">
                  <c:v>311.87799999999999</c:v>
                </c:pt>
              </c:numCache>
            </c:numRef>
          </c:val>
          <c:smooth val="0"/>
          <c:extLst>
            <c:ext xmlns:c16="http://schemas.microsoft.com/office/drawing/2014/chart" uri="{C3380CC4-5D6E-409C-BE32-E72D297353CC}">
              <c16:uniqueId val="{00000001-1B48-4D0F-9229-4C19E73E82A2}"/>
            </c:ext>
          </c:extLst>
        </c:ser>
        <c:dLbls>
          <c:showLegendKey val="0"/>
          <c:showVal val="0"/>
          <c:showCatName val="0"/>
          <c:showSerName val="0"/>
          <c:showPercent val="0"/>
          <c:showBubbleSize val="0"/>
        </c:dLbls>
        <c:marker val="1"/>
        <c:smooth val="0"/>
        <c:axId val="1659161520"/>
        <c:axId val="1659162000"/>
      </c:lineChart>
      <c:catAx>
        <c:axId val="165916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659162000"/>
        <c:crosses val="autoZero"/>
        <c:auto val="1"/>
        <c:lblAlgn val="ctr"/>
        <c:lblOffset val="100"/>
        <c:noMultiLvlLbl val="0"/>
      </c:catAx>
      <c:valAx>
        <c:axId val="16591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65916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[Egypt_Energy_Project6.xlsx]Sheet5!PivotTable5</c:name>
    <c:fmtId val="2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76200" cap="rnd">
            <a:solidFill>
              <a:schemeClr val="accent1"/>
            </a:solidFill>
            <a:round/>
          </a:ln>
          <a:effectLst/>
        </c:spPr>
        <c:marker>
          <c:symbol val="circle"/>
          <c:size val="5"/>
          <c:spPr>
            <a:solidFill>
              <a:schemeClr val="bg1"/>
            </a:solidFill>
            <a:ln w="41275">
              <a:solidFill>
                <a:schemeClr val="bg1"/>
              </a:solidFill>
            </a:ln>
            <a:effectLst/>
          </c:spPr>
        </c:marker>
        <c:dLbl>
          <c:idx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76200" cap="rnd">
              <a:solidFill>
                <a:schemeClr val="accent1"/>
              </a:solidFill>
              <a:round/>
            </a:ln>
            <a:effectLst/>
          </c:spPr>
          <c:marker>
            <c:symbol val="circle"/>
            <c:size val="5"/>
            <c:spPr>
              <a:solidFill>
                <a:schemeClr val="bg1"/>
              </a:solidFill>
              <a:ln w="41275">
                <a:solidFill>
                  <a:schemeClr val="bg1"/>
                </a:solidFill>
              </a:ln>
              <a:effectLst/>
            </c:spPr>
          </c:marker>
          <c:cat>
            <c:strRef>
              <c:f>Sheet5!$A$4:$A$8</c:f>
              <c:strCache>
                <c:ptCount val="4"/>
                <c:pt idx="0">
                  <c:v>2000</c:v>
                </c:pt>
                <c:pt idx="1">
                  <c:v>2001</c:v>
                </c:pt>
                <c:pt idx="2">
                  <c:v>2002</c:v>
                </c:pt>
                <c:pt idx="3">
                  <c:v>2003</c:v>
                </c:pt>
              </c:strCache>
            </c:strRef>
          </c:cat>
          <c:val>
            <c:numRef>
              <c:f>Sheet5!$B$4:$B$8</c:f>
              <c:numCache>
                <c:formatCode>0.00%</c:formatCode>
                <c:ptCount val="4"/>
                <c:pt idx="0">
                  <c:v>0.19448990725586468</c:v>
                </c:pt>
                <c:pt idx="1">
                  <c:v>0.18077066038904718</c:v>
                </c:pt>
                <c:pt idx="2">
                  <c:v>0.16467586686767943</c:v>
                </c:pt>
                <c:pt idx="3">
                  <c:v>0.14350797266514806</c:v>
                </c:pt>
              </c:numCache>
            </c:numRef>
          </c:val>
          <c:smooth val="0"/>
          <c:extLst>
            <c:ext xmlns:c16="http://schemas.microsoft.com/office/drawing/2014/chart" uri="{C3380CC4-5D6E-409C-BE32-E72D297353CC}">
              <c16:uniqueId val="{00000000-4AA8-48AA-844A-3D93D5A74F31}"/>
            </c:ext>
          </c:extLst>
        </c:ser>
        <c:dLbls>
          <c:showLegendKey val="0"/>
          <c:showVal val="0"/>
          <c:showCatName val="0"/>
          <c:showSerName val="0"/>
          <c:showPercent val="0"/>
          <c:showBubbleSize val="0"/>
        </c:dLbls>
        <c:marker val="1"/>
        <c:smooth val="0"/>
        <c:axId val="1868565248"/>
        <c:axId val="1868559968"/>
      </c:lineChart>
      <c:catAx>
        <c:axId val="18685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59968"/>
        <c:crosses val="autoZero"/>
        <c:auto val="1"/>
        <c:lblAlgn val="ctr"/>
        <c:lblOffset val="100"/>
        <c:noMultiLvlLbl val="0"/>
      </c:catAx>
      <c:valAx>
        <c:axId val="1868559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6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[Egypt_Energy_Project6.xlsx]Trade_Analysis!PivotTable14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7077865266843"/>
          <c:y val="6.70040709717247E-2"/>
          <c:w val="0.48402887139107614"/>
          <c:h val="0.82133724434675337"/>
        </c:manualLayout>
      </c:layout>
      <c:barChart>
        <c:barDir val="bar"/>
        <c:grouping val="clustered"/>
        <c:varyColors val="0"/>
        <c:ser>
          <c:idx val="0"/>
          <c:order val="0"/>
          <c:tx>
            <c:strRef>
              <c:f>Trade_Analysis!$N$8</c:f>
              <c:strCache>
                <c:ptCount val="1"/>
                <c:pt idx="0">
                  <c:v>Sum of Gas Net Balance (Prod-Cons, TWh eq)</c:v>
                </c:pt>
              </c:strCache>
            </c:strRef>
          </c:tx>
          <c:spPr>
            <a:solidFill>
              <a:schemeClr val="accent1"/>
            </a:solidFill>
            <a:ln>
              <a:noFill/>
            </a:ln>
            <a:effectLst/>
          </c:spPr>
          <c:invertIfNegative val="0"/>
          <c:cat>
            <c:strRef>
              <c:f>Trade_Analysis!$M$9:$M$33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Trade_Analysis!$N$9:$N$33</c:f>
              <c:numCache>
                <c:formatCode>General</c:formatCode>
                <c:ptCount val="24"/>
                <c:pt idx="0">
                  <c:v>9.625</c:v>
                </c:pt>
                <c:pt idx="1">
                  <c:v>6.7379999999999995</c:v>
                </c:pt>
                <c:pt idx="2">
                  <c:v>7.700999999999965</c:v>
                </c:pt>
                <c:pt idx="3">
                  <c:v>3.8509999999999991</c:v>
                </c:pt>
                <c:pt idx="4">
                  <c:v>12.512999999999977</c:v>
                </c:pt>
                <c:pt idx="5">
                  <c:v>104.91200000000003</c:v>
                </c:pt>
                <c:pt idx="6">
                  <c:v>175.17499999999995</c:v>
                </c:pt>
                <c:pt idx="7">
                  <c:v>166.80099999999999</c:v>
                </c:pt>
                <c:pt idx="8">
                  <c:v>174.50100000000003</c:v>
                </c:pt>
                <c:pt idx="9">
                  <c:v>193.94399999999996</c:v>
                </c:pt>
                <c:pt idx="10">
                  <c:v>156.02100000000002</c:v>
                </c:pt>
                <c:pt idx="11">
                  <c:v>113.83999999999997</c:v>
                </c:pt>
                <c:pt idx="12">
                  <c:v>79.61099999999999</c:v>
                </c:pt>
                <c:pt idx="13">
                  <c:v>44.634000000000015</c:v>
                </c:pt>
                <c:pt idx="14">
                  <c:v>7.4230000000000018</c:v>
                </c:pt>
                <c:pt idx="15">
                  <c:v>-34.281999999999982</c:v>
                </c:pt>
                <c:pt idx="16">
                  <c:v>-91.024000000000001</c:v>
                </c:pt>
                <c:pt idx="17">
                  <c:v>-71.214999999999975</c:v>
                </c:pt>
                <c:pt idx="18">
                  <c:v>-10.362999999999943</c:v>
                </c:pt>
                <c:pt idx="19">
                  <c:v>59.00100000000009</c:v>
                </c:pt>
                <c:pt idx="20">
                  <c:v>1.5730000000000928</c:v>
                </c:pt>
                <c:pt idx="21">
                  <c:v>56.745999999999981</c:v>
                </c:pt>
                <c:pt idx="22">
                  <c:v>38.972999999999956</c:v>
                </c:pt>
                <c:pt idx="23">
                  <c:v>-29.385999999999967</c:v>
                </c:pt>
              </c:numCache>
            </c:numRef>
          </c:val>
          <c:extLst>
            <c:ext xmlns:c16="http://schemas.microsoft.com/office/drawing/2014/chart" uri="{C3380CC4-5D6E-409C-BE32-E72D297353CC}">
              <c16:uniqueId val="{00000000-41B3-4154-BED2-336F892FAD96}"/>
            </c:ext>
          </c:extLst>
        </c:ser>
        <c:ser>
          <c:idx val="1"/>
          <c:order val="1"/>
          <c:tx>
            <c:strRef>
              <c:f>Trade_Analysis!$O$8</c:f>
              <c:strCache>
                <c:ptCount val="1"/>
                <c:pt idx="0">
                  <c:v>Sum of Oil Net Balance (Prod-Cons, TWh eq)</c:v>
                </c:pt>
              </c:strCache>
            </c:strRef>
          </c:tx>
          <c:spPr>
            <a:solidFill>
              <a:schemeClr val="accent2"/>
            </a:solidFill>
            <a:ln>
              <a:noFill/>
            </a:ln>
            <a:effectLst/>
          </c:spPr>
          <c:invertIfNegative val="0"/>
          <c:cat>
            <c:strRef>
              <c:f>Trade_Analysis!$M$9:$M$33</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Trade_Analysis!$O$9:$O$33</c:f>
              <c:numCache>
                <c:formatCode>0.00</c:formatCode>
                <c:ptCount val="24"/>
                <c:pt idx="0">
                  <c:v>128.846</c:v>
                </c:pt>
                <c:pt idx="1">
                  <c:v>131.55500000000001</c:v>
                </c:pt>
                <c:pt idx="2">
                  <c:v>128.94</c:v>
                </c:pt>
                <c:pt idx="3">
                  <c:v>119.27500000000003</c:v>
                </c:pt>
                <c:pt idx="4">
                  <c:v>76.798999999999978</c:v>
                </c:pt>
                <c:pt idx="5">
                  <c:v>38.031999999999982</c:v>
                </c:pt>
                <c:pt idx="6">
                  <c:v>48.339999999999975</c:v>
                </c:pt>
                <c:pt idx="7">
                  <c:v>28.923000000000002</c:v>
                </c:pt>
                <c:pt idx="8">
                  <c:v>17.412999999999954</c:v>
                </c:pt>
                <c:pt idx="9">
                  <c:v>6.4130000000000109</c:v>
                </c:pt>
                <c:pt idx="10">
                  <c:v>-8.1949999999999932</c:v>
                </c:pt>
                <c:pt idx="11">
                  <c:v>-15.835999999999956</c:v>
                </c:pt>
                <c:pt idx="12">
                  <c:v>-24.361000000000047</c:v>
                </c:pt>
                <c:pt idx="13">
                  <c:v>-33.70799999999997</c:v>
                </c:pt>
                <c:pt idx="14">
                  <c:v>-46.607000000000028</c:v>
                </c:pt>
                <c:pt idx="15">
                  <c:v>-52.47399999999999</c:v>
                </c:pt>
                <c:pt idx="16">
                  <c:v>-86.677000000000021</c:v>
                </c:pt>
                <c:pt idx="17">
                  <c:v>-81.98599999999999</c:v>
                </c:pt>
                <c:pt idx="18">
                  <c:v>-24.468999999999994</c:v>
                </c:pt>
                <c:pt idx="19">
                  <c:v>-13.639999999999986</c:v>
                </c:pt>
                <c:pt idx="20">
                  <c:v>28.622000000000014</c:v>
                </c:pt>
                <c:pt idx="21">
                  <c:v>-15.302999999999997</c:v>
                </c:pt>
                <c:pt idx="22">
                  <c:v>-75.836000000000013</c:v>
                </c:pt>
                <c:pt idx="23">
                  <c:v>-68.720000000000027</c:v>
                </c:pt>
              </c:numCache>
            </c:numRef>
          </c:val>
          <c:extLst>
            <c:ext xmlns:c16="http://schemas.microsoft.com/office/drawing/2014/chart" uri="{C3380CC4-5D6E-409C-BE32-E72D297353CC}">
              <c16:uniqueId val="{00000001-41B3-4154-BED2-336F892FAD96}"/>
            </c:ext>
          </c:extLst>
        </c:ser>
        <c:dLbls>
          <c:showLegendKey val="0"/>
          <c:showVal val="0"/>
          <c:showCatName val="0"/>
          <c:showSerName val="0"/>
          <c:showPercent val="0"/>
          <c:showBubbleSize val="0"/>
        </c:dLbls>
        <c:gapWidth val="182"/>
        <c:axId val="1262878752"/>
        <c:axId val="1262915232"/>
      </c:barChart>
      <c:catAx>
        <c:axId val="12628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80000" spcFirstLastPara="1" vertOverflow="ellipsis"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262915232"/>
        <c:crosses val="autoZero"/>
        <c:auto val="1"/>
        <c:lblAlgn val="ctr"/>
        <c:lblOffset val="1000"/>
        <c:noMultiLvlLbl val="0"/>
      </c:catAx>
      <c:valAx>
        <c:axId val="1262915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26287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[Egypt_Energy_Project6.xlsx]Electricity Price History!PivotTable15</c:name>
    <c:fmtId val="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'Electricity Price History'!$O$21</c:f>
              <c:strCache>
                <c:ptCount val="1"/>
                <c:pt idx="0">
                  <c:v>Total</c:v>
                </c:pt>
              </c:strCache>
            </c:strRef>
          </c:tx>
          <c:spPr>
            <a:solidFill>
              <a:schemeClr val="accent1"/>
            </a:solidFill>
            <a:ln>
              <a:noFill/>
            </a:ln>
            <a:effectLst/>
          </c:spPr>
          <c:invertIfNegative val="0"/>
          <c:cat>
            <c:strRef>
              <c:f>'Electricity Price History'!$N$22:$N$46</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'Electricity Price History'!$O$22:$O$46</c:f>
              <c:numCache>
                <c:formatCode>General</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7.4999999999999997E-2</c:v>
                </c:pt>
                <c:pt idx="15">
                  <c:v>7.4999999999999997E-2</c:v>
                </c:pt>
                <c:pt idx="16">
                  <c:v>0.1</c:v>
                </c:pt>
                <c:pt idx="17">
                  <c:v>0.13</c:v>
                </c:pt>
                <c:pt idx="18">
                  <c:v>0.22</c:v>
                </c:pt>
                <c:pt idx="19">
                  <c:v>0.3</c:v>
                </c:pt>
                <c:pt idx="20">
                  <c:v>0.38</c:v>
                </c:pt>
                <c:pt idx="21">
                  <c:v>0.48</c:v>
                </c:pt>
                <c:pt idx="22">
                  <c:v>0.57999999999999996</c:v>
                </c:pt>
                <c:pt idx="23">
                  <c:v>0.68</c:v>
                </c:pt>
              </c:numCache>
            </c:numRef>
          </c:val>
          <c:extLst>
            <c:ext xmlns:c16="http://schemas.microsoft.com/office/drawing/2014/chart" uri="{C3380CC4-5D6E-409C-BE32-E72D297353CC}">
              <c16:uniqueId val="{00000000-426D-423C-B01B-DB4029D1697D}"/>
            </c:ext>
          </c:extLst>
        </c:ser>
        <c:dLbls>
          <c:showLegendKey val="0"/>
          <c:showVal val="0"/>
          <c:showCatName val="0"/>
          <c:showSerName val="0"/>
          <c:showPercent val="0"/>
          <c:showBubbleSize val="0"/>
        </c:dLbls>
        <c:gapWidth val="219"/>
        <c:axId val="1868536928"/>
        <c:axId val="1868537888"/>
      </c:barChart>
      <c:catAx>
        <c:axId val="186853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37888"/>
        <c:crosses val="autoZero"/>
        <c:auto val="1"/>
        <c:lblAlgn val="ctr"/>
        <c:lblOffset val="100"/>
        <c:noMultiLvlLbl val="0"/>
      </c:catAx>
      <c:valAx>
        <c:axId val="18685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[Egypt_Energy_Project6.xlsx]Sheet10!PivotTable16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Sheet10!$B$4</c:f>
              <c:strCache>
                <c:ptCount val="1"/>
                <c:pt idx="0">
                  <c:v>Total</c:v>
                </c:pt>
              </c:strCache>
            </c:strRef>
          </c:tx>
          <c:spPr>
            <a:solidFill>
              <a:schemeClr val="accent1"/>
            </a:solidFill>
            <a:ln>
              <a:noFill/>
            </a:ln>
            <a:effectLst/>
          </c:spPr>
          <c:invertIfNegative val="0"/>
          <c:cat>
            <c:strRef>
              <c:f>Sheet10!$A$5:$A$29</c:f>
              <c:strCach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strCache>
            </c:strRef>
          </c:cat>
          <c:val>
            <c:numRef>
              <c:f>Sheet10!$B$5:$B$29</c:f>
              <c:numCache>
                <c:formatCode>General</c:formatCode>
                <c:ptCount val="24"/>
                <c:pt idx="0">
                  <c:v>7479.4503333333341</c:v>
                </c:pt>
                <c:pt idx="1">
                  <c:v>7551.1039999999994</c:v>
                </c:pt>
                <c:pt idx="2">
                  <c:v>7647.7176666666664</c:v>
                </c:pt>
                <c:pt idx="3">
                  <c:v>7843.4516666666668</c:v>
                </c:pt>
                <c:pt idx="4">
                  <c:v>8166.8180000000002</c:v>
                </c:pt>
                <c:pt idx="5">
                  <c:v>8741.3093333333327</c:v>
                </c:pt>
                <c:pt idx="6">
                  <c:v>8467.6666666666661</c:v>
                </c:pt>
                <c:pt idx="7">
                  <c:v>7676.0423333333338</c:v>
                </c:pt>
                <c:pt idx="8">
                  <c:v>7889.5886666666665</c:v>
                </c:pt>
                <c:pt idx="9">
                  <c:v>7385.8976666666667</c:v>
                </c:pt>
                <c:pt idx="10">
                  <c:v>7529.592333333334</c:v>
                </c:pt>
                <c:pt idx="11">
                  <c:v>7417.0273333333344</c:v>
                </c:pt>
                <c:pt idx="12">
                  <c:v>7786.7576666666673</c:v>
                </c:pt>
                <c:pt idx="13">
                  <c:v>7659.1763333333338</c:v>
                </c:pt>
                <c:pt idx="14">
                  <c:v>7631.9396666666662</c:v>
                </c:pt>
                <c:pt idx="15">
                  <c:v>7688.3530000000001</c:v>
                </c:pt>
                <c:pt idx="16">
                  <c:v>7782.6073333333334</c:v>
                </c:pt>
                <c:pt idx="17">
                  <c:v>7934.3006666666661</c:v>
                </c:pt>
                <c:pt idx="18">
                  <c:v>7739.810333333332</c:v>
                </c:pt>
                <c:pt idx="19">
                  <c:v>7560.4739999999993</c:v>
                </c:pt>
                <c:pt idx="20">
                  <c:v>6735.5146666666669</c:v>
                </c:pt>
                <c:pt idx="21">
                  <c:v>6992.4656666666669</c:v>
                </c:pt>
                <c:pt idx="22">
                  <c:v>7253.820333333334</c:v>
                </c:pt>
                <c:pt idx="23">
                  <c:v>7112.6033333333335</c:v>
                </c:pt>
              </c:numCache>
            </c:numRef>
          </c:val>
          <c:extLst>
            <c:ext xmlns:c16="http://schemas.microsoft.com/office/drawing/2014/chart" uri="{C3380CC4-5D6E-409C-BE32-E72D297353CC}">
              <c16:uniqueId val="{00000000-A572-42B0-8990-B3BF0EDD4C90}"/>
            </c:ext>
          </c:extLst>
        </c:ser>
        <c:dLbls>
          <c:showLegendKey val="0"/>
          <c:showVal val="0"/>
          <c:showCatName val="0"/>
          <c:showSerName val="0"/>
          <c:showPercent val="0"/>
          <c:showBubbleSize val="0"/>
        </c:dLbls>
        <c:gapWidth val="182"/>
        <c:axId val="1868563328"/>
        <c:axId val="1868547008"/>
      </c:barChart>
      <c:catAx>
        <c:axId val="186856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47008"/>
        <c:crosses val="autoZero"/>
        <c:auto val="1"/>
        <c:lblAlgn val="ctr"/>
        <c:lblOffset val="100"/>
        <c:noMultiLvlLbl val="0"/>
      </c:catAx>
      <c:valAx>
        <c:axId val="186854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86856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[Egypt_Energy_Project6.xlsx]Trade_Analysis!PivotTable18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5608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56082"/>
          </a:solidFill>
          <a:ln>
            <a:noFill/>
          </a:ln>
          <a:effectLst/>
        </c:spPr>
        <c:marker>
          <c:symbol val="none"/>
        </c:marker>
        <c:dLbl>
          <c:idx val="0"/>
          <c:spPr>
            <a:noFill/>
            <a:ln>
              <a:noFill/>
            </a:ln>
            <a:effectLst/>
          </c:spPr>
          <c:txPr>
            <a:bodyPr rot="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Trade_Analysis!$F$48</c:f>
              <c:strCache>
                <c:ptCount val="1"/>
                <c:pt idx="0">
                  <c:v>Total</c:v>
                </c:pt>
              </c:strCache>
            </c:strRef>
          </c:tx>
          <c:spPr>
            <a:solidFill>
              <a:srgbClr val="156082"/>
            </a:solidFill>
            <a:ln>
              <a:noFill/>
            </a:ln>
            <a:effectLst/>
          </c:spPr>
          <c:invertIfNegative val="1"/>
          <c:cat>
            <c:strRef>
              <c:f>Trade_Analysis!$E$49:$E$65</c:f>
              <c:strCache>
                <c:ptCount val="16"/>
                <c:pt idx="0">
                  <c:v>Algeria</c:v>
                </c:pt>
                <c:pt idx="1">
                  <c:v>Egypt</c:v>
                </c:pt>
                <c:pt idx="2">
                  <c:v>Ethiopia</c:v>
                </c:pt>
                <c:pt idx="3">
                  <c:v>Iran</c:v>
                </c:pt>
                <c:pt idx="4">
                  <c:v>Iraq</c:v>
                </c:pt>
                <c:pt idx="5">
                  <c:v>Israel</c:v>
                </c:pt>
                <c:pt idx="6">
                  <c:v>Jordan</c:v>
                </c:pt>
                <c:pt idx="7">
                  <c:v>Libya</c:v>
                </c:pt>
                <c:pt idx="8">
                  <c:v>Morocco</c:v>
                </c:pt>
                <c:pt idx="9">
                  <c:v>Nigeria</c:v>
                </c:pt>
                <c:pt idx="10">
                  <c:v>Saudi Arabia</c:v>
                </c:pt>
                <c:pt idx="11">
                  <c:v>South Africa</c:v>
                </c:pt>
                <c:pt idx="12">
                  <c:v>Sudan</c:v>
                </c:pt>
                <c:pt idx="13">
                  <c:v>Tunisia</c:v>
                </c:pt>
                <c:pt idx="14">
                  <c:v>Turkey</c:v>
                </c:pt>
                <c:pt idx="15">
                  <c:v>United Arab Emirates</c:v>
                </c:pt>
              </c:strCache>
            </c:strRef>
          </c:cat>
          <c:val>
            <c:numRef>
              <c:f>Trade_Analysis!$F$49:$F$65</c:f>
              <c:numCache>
                <c:formatCode>General</c:formatCode>
                <c:ptCount val="16"/>
                <c:pt idx="0">
                  <c:v>-2.44</c:v>
                </c:pt>
                <c:pt idx="1">
                  <c:v>-1.39</c:v>
                </c:pt>
                <c:pt idx="2">
                  <c:v>-1.78</c:v>
                </c:pt>
                <c:pt idx="3">
                  <c:v>-6.73</c:v>
                </c:pt>
                <c:pt idx="4">
                  <c:v>6.82</c:v>
                </c:pt>
                <c:pt idx="5">
                  <c:v>-6.93</c:v>
                </c:pt>
                <c:pt idx="6">
                  <c:v>7.0000000000000007E-2</c:v>
                </c:pt>
                <c:pt idx="7">
                  <c:v>0</c:v>
                </c:pt>
                <c:pt idx="8">
                  <c:v>1.85</c:v>
                </c:pt>
                <c:pt idx="9">
                  <c:v>-2.3199999999999998</c:v>
                </c:pt>
                <c:pt idx="10">
                  <c:v>-0.04</c:v>
                </c:pt>
                <c:pt idx="11">
                  <c:v>-0.55000000000000004</c:v>
                </c:pt>
                <c:pt idx="12">
                  <c:v>0.65</c:v>
                </c:pt>
                <c:pt idx="13">
                  <c:v>2.5</c:v>
                </c:pt>
                <c:pt idx="14">
                  <c:v>4.0199999999999996</c:v>
                </c:pt>
                <c:pt idx="15">
                  <c:v>-0.1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E94D-4E28-B5A2-AA0FC6B3110D}"/>
            </c:ext>
          </c:extLst>
        </c:ser>
        <c:dLbls>
          <c:showLegendKey val="0"/>
          <c:showVal val="0"/>
          <c:showCatName val="0"/>
          <c:showSerName val="0"/>
          <c:showPercent val="0"/>
          <c:showBubbleSize val="0"/>
        </c:dLbls>
        <c:gapWidth val="182"/>
        <c:axId val="1518374480"/>
        <c:axId val="1518375920"/>
      </c:barChart>
      <c:catAx>
        <c:axId val="151837448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518375920"/>
        <c:crosses val="autoZero"/>
        <c:auto val="1"/>
        <c:lblAlgn val="ctr"/>
        <c:lblOffset val="1000"/>
        <c:noMultiLvlLbl val="0"/>
      </c:catAx>
      <c:valAx>
        <c:axId val="151837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2">
                    <a:lumMod val="10000"/>
                    <a:lumOff val="90000"/>
                  </a:schemeClr>
                </a:solidFill>
                <a:latin typeface="+mn-lt"/>
                <a:ea typeface="+mn-ea"/>
                <a:cs typeface="+mn-cs"/>
              </a:defRPr>
            </a:pPr>
            <a:endParaRPr lang="en-US"/>
          </a:p>
        </c:txPr>
        <c:crossAx val="151837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500" baseline="0">
          <a:solidFill>
            <a:schemeClr val="tx2">
              <a:lumMod val="10000"/>
              <a:lumOff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waterfall" uniqueId="{4F0502E9-1183-4AEC-B75C-405A77A73723}">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3</xdr:col>
      <xdr:colOff>1609725</xdr:colOff>
      <xdr:row>12</xdr:row>
      <xdr:rowOff>123825</xdr:rowOff>
    </xdr:from>
    <xdr:to>
      <xdr:col>4</xdr:col>
      <xdr:colOff>1809750</xdr:colOff>
      <xdr:row>26</xdr:row>
      <xdr:rowOff>123825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98CDB76C-8266-5BB1-F690-A423A9C4316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286500" y="2409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13</xdr:row>
      <xdr:rowOff>114300</xdr:rowOff>
    </xdr:from>
    <xdr:to>
      <xdr:col>9</xdr:col>
      <xdr:colOff>171450</xdr:colOff>
      <xdr:row>27</xdr:row>
      <xdr:rowOff>114300</xdr:rowOff>
    </xdr:to>
    <mc:AlternateContent xmlns:mc="http://schemas.openxmlformats.org/markup-compatibility/2006">
      <mc:Choice xmlns:a14="http://schemas.microsoft.com/office/drawing/2010/main" Requires="a14">
        <xdr:graphicFrame macro="">
          <xdr:nvGraphicFramePr>
            <xdr:cNvPr id="3" name="year 2">
              <a:extLst>
                <a:ext uri="{FF2B5EF4-FFF2-40B4-BE49-F238E27FC236}">
                  <a16:creationId xmlns:a16="http://schemas.microsoft.com/office/drawing/2014/main" id="{8347B5A8-F44B-F0D1-6BAA-45B8820817B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001125" y="2590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1162050</xdr:colOff>
      <xdr:row>10</xdr:row>
      <xdr:rowOff>138112</xdr:rowOff>
    </xdr:from>
    <xdr:to>
      <xdr:col>4</xdr:col>
      <xdr:colOff>323850</xdr:colOff>
      <xdr:row>25</xdr:row>
      <xdr:rowOff>23812</xdr:rowOff>
    </xdr:to>
    <xdr:graphicFrame macro="">
      <xdr:nvGraphicFramePr>
        <xdr:cNvPr id="4" name="Chart 3">
          <a:extLst>
            <a:ext uri="{FF2B5EF4-FFF2-40B4-BE49-F238E27FC236}">
              <a16:creationId xmlns:a16="http://schemas.microsoft.com/office/drawing/2014/main" id="{D2216D64-EBFC-1507-25BC-8DDFBF5DD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13</xdr:row>
      <xdr:rowOff>14287</xdr:rowOff>
    </xdr:from>
    <xdr:to>
      <xdr:col>13</xdr:col>
      <xdr:colOff>590550</xdr:colOff>
      <xdr:row>27</xdr:row>
      <xdr:rowOff>90487</xdr:rowOff>
    </xdr:to>
    <xdr:graphicFrame macro="">
      <xdr:nvGraphicFramePr>
        <xdr:cNvPr id="2" name="Chart 1">
          <a:extLst>
            <a:ext uri="{FF2B5EF4-FFF2-40B4-BE49-F238E27FC236}">
              <a16:creationId xmlns:a16="http://schemas.microsoft.com/office/drawing/2014/main" id="{20C85276-87DA-C599-3685-A3C0F61CC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2000250</xdr:colOff>
      <xdr:row>13</xdr:row>
      <xdr:rowOff>52387</xdr:rowOff>
    </xdr:from>
    <xdr:to>
      <xdr:col>10</xdr:col>
      <xdr:colOff>295275</xdr:colOff>
      <xdr:row>27</xdr:row>
      <xdr:rowOff>128587</xdr:rowOff>
    </xdr:to>
    <xdr:graphicFrame macro="">
      <xdr:nvGraphicFramePr>
        <xdr:cNvPr id="2" name="Chart 1">
          <a:extLst>
            <a:ext uri="{FF2B5EF4-FFF2-40B4-BE49-F238E27FC236}">
              <a16:creationId xmlns:a16="http://schemas.microsoft.com/office/drawing/2014/main" id="{A8B6A729-1F7E-3BF3-F48A-8BFC12BDA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104774</xdr:colOff>
      <xdr:row>6</xdr:row>
      <xdr:rowOff>85725</xdr:rowOff>
    </xdr:from>
    <xdr:to>
      <xdr:col>18</xdr:col>
      <xdr:colOff>19050</xdr:colOff>
      <xdr:row>39</xdr:row>
      <xdr:rowOff>85724</xdr:rowOff>
    </xdr:to>
    <xdr:graphicFrame macro="">
      <xdr:nvGraphicFramePr>
        <xdr:cNvPr id="2" name="Chart 1">
          <a:extLst>
            <a:ext uri="{FF2B5EF4-FFF2-40B4-BE49-F238E27FC236}">
              <a16:creationId xmlns:a16="http://schemas.microsoft.com/office/drawing/2014/main" id="{9518F526-1E3A-B18E-ED00-067E765B1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57150</xdr:colOff>
      <xdr:row>0</xdr:row>
      <xdr:rowOff>9525</xdr:rowOff>
    </xdr:from>
    <xdr:to>
      <xdr:col>18</xdr:col>
      <xdr:colOff>19050</xdr:colOff>
      <xdr:row>6</xdr:row>
      <xdr:rowOff>9525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205F490-2EE9-F653-7DCD-D38CEE92DE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876800" y="9525"/>
              <a:ext cx="58293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9525</xdr:colOff>
      <xdr:row>11</xdr:row>
      <xdr:rowOff>19050</xdr:rowOff>
    </xdr:from>
    <xdr:to>
      <xdr:col>13</xdr:col>
      <xdr:colOff>371475</xdr:colOff>
      <xdr:row>27</xdr:row>
      <xdr:rowOff>128587</xdr:rowOff>
    </xdr:to>
    <xdr:graphicFrame macro="">
      <xdr:nvGraphicFramePr>
        <xdr:cNvPr id="2" name="Chart 1">
          <a:extLst>
            <a:ext uri="{FF2B5EF4-FFF2-40B4-BE49-F238E27FC236}">
              <a16:creationId xmlns:a16="http://schemas.microsoft.com/office/drawing/2014/main" id="{C3967A75-2186-2EB7-2C02-78C56D402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66675</xdr:colOff>
      <xdr:row>11</xdr:row>
      <xdr:rowOff>95250</xdr:rowOff>
    </xdr:from>
    <xdr:to>
      <xdr:col>13</xdr:col>
      <xdr:colOff>390525</xdr:colOff>
      <xdr:row>27</xdr:row>
      <xdr:rowOff>128587</xdr:rowOff>
    </xdr:to>
    <xdr:graphicFrame macro="">
      <xdr:nvGraphicFramePr>
        <xdr:cNvPr id="2" name="Chart 1">
          <a:extLst>
            <a:ext uri="{FF2B5EF4-FFF2-40B4-BE49-F238E27FC236}">
              <a16:creationId xmlns:a16="http://schemas.microsoft.com/office/drawing/2014/main" id="{AD6DD110-306F-F23C-A5FD-1AA89D57B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171449</xdr:colOff>
      <xdr:row>15</xdr:row>
      <xdr:rowOff>23812</xdr:rowOff>
    </xdr:from>
    <xdr:to>
      <xdr:col>15</xdr:col>
      <xdr:colOff>295274</xdr:colOff>
      <xdr:row>29</xdr:row>
      <xdr:rowOff>100012</xdr:rowOff>
    </xdr:to>
    <xdr:graphicFrame macro="">
      <xdr:nvGraphicFramePr>
        <xdr:cNvPr id="2" name="Chart 1">
          <a:extLst>
            <a:ext uri="{FF2B5EF4-FFF2-40B4-BE49-F238E27FC236}">
              <a16:creationId xmlns:a16="http://schemas.microsoft.com/office/drawing/2014/main" id="{E7B4374F-089C-78CE-054D-789AB8147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1476374</xdr:colOff>
      <xdr:row>13</xdr:row>
      <xdr:rowOff>47625</xdr:rowOff>
    </xdr:from>
    <xdr:to>
      <xdr:col>8</xdr:col>
      <xdr:colOff>323849</xdr:colOff>
      <xdr:row>39</xdr:row>
      <xdr:rowOff>128587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E71AC3D-0790-251F-3D2C-926A98A496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399" y="2524125"/>
              <a:ext cx="6162675" cy="50339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571500</xdr:colOff>
      <xdr:row>9</xdr:row>
      <xdr:rowOff>66674</xdr:rowOff>
    </xdr:from>
    <xdr:to>
      <xdr:col>13</xdr:col>
      <xdr:colOff>1809750</xdr:colOff>
      <xdr:row>43</xdr:row>
      <xdr:rowOff>180975</xdr:rowOff>
    </xdr:to>
    <xdr:graphicFrame macro="">
      <xdr:nvGraphicFramePr>
        <xdr:cNvPr id="3" name="Chart 2">
          <a:extLst>
            <a:ext uri="{FF2B5EF4-FFF2-40B4-BE49-F238E27FC236}">
              <a16:creationId xmlns:a16="http://schemas.microsoft.com/office/drawing/2014/main" id="{6F090B19-E074-9CD7-B2E3-27CDEE0C8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2590800</xdr:colOff>
      <xdr:row>40</xdr:row>
      <xdr:rowOff>100012</xdr:rowOff>
    </xdr:from>
    <xdr:to>
      <xdr:col>5</xdr:col>
      <xdr:colOff>1108710</xdr:colOff>
      <xdr:row>57</xdr:row>
      <xdr:rowOff>153352</xdr:rowOff>
    </xdr:to>
    <xdr:graphicFrame macro="">
      <xdr:nvGraphicFramePr>
        <xdr:cNvPr id="4" name="Chart 3">
          <a:extLst>
            <a:ext uri="{FF2B5EF4-FFF2-40B4-BE49-F238E27FC236}">
              <a16:creationId xmlns:a16="http://schemas.microsoft.com/office/drawing/2014/main" id="{99371D33-0AEE-80BB-014A-A9206F30D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133350</xdr:colOff>
      <xdr:row>31</xdr:row>
      <xdr:rowOff>138112</xdr:rowOff>
    </xdr:from>
    <xdr:to>
      <xdr:col>14</xdr:col>
      <xdr:colOff>762000</xdr:colOff>
      <xdr:row>46</xdr:row>
      <xdr:rowOff>23812</xdr:rowOff>
    </xdr:to>
    <xdr:graphicFrame macro="">
      <xdr:nvGraphicFramePr>
        <xdr:cNvPr id="2" name="Chart 1">
          <a:extLst>
            <a:ext uri="{FF2B5EF4-FFF2-40B4-BE49-F238E27FC236}">
              <a16:creationId xmlns:a16="http://schemas.microsoft.com/office/drawing/2014/main" id="{E3886FB5-F381-D2FD-74A8-B83A09D39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476249</xdr:colOff>
      <xdr:row>126</xdr:row>
      <xdr:rowOff>71436</xdr:rowOff>
    </xdr:to>
    <xdr:sp macro="" textlink="">
      <xdr:nvSpPr>
        <xdr:cNvPr id="2" name="Rectangle 1">
          <a:extLst>
            <a:ext uri="{FF2B5EF4-FFF2-40B4-BE49-F238E27FC236}">
              <a16:creationId xmlns:a16="http://schemas.microsoft.com/office/drawing/2014/main" id="{69E7B1E3-11ED-4B8E-863B-FAD334580417}"/>
            </a:ext>
          </a:extLst>
        </xdr:cNvPr>
        <xdr:cNvSpPr/>
      </xdr:nvSpPr>
      <xdr:spPr>
        <a:xfrm>
          <a:off x="0" y="0"/>
          <a:ext cx="25860374" cy="24074436"/>
        </a:xfrm>
        <a:prstGeom prst="rect">
          <a:avLst/>
        </a:prstGeom>
        <a:gradFill flip="none" rotWithShape="1">
          <a:gsLst>
            <a:gs pos="0">
              <a:srgbClr val="0376A4"/>
            </a:gs>
            <a:gs pos="60000">
              <a:srgbClr val="000B27"/>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243568</xdr:colOff>
      <xdr:row>0</xdr:row>
      <xdr:rowOff>93885</xdr:rowOff>
    </xdr:from>
    <xdr:to>
      <xdr:col>41</xdr:col>
      <xdr:colOff>140073</xdr:colOff>
      <xdr:row>124</xdr:row>
      <xdr:rowOff>153922</xdr:rowOff>
    </xdr:to>
    <xdr:sp macro="" textlink="">
      <xdr:nvSpPr>
        <xdr:cNvPr id="3" name="Rectangle: Rounded Corners 2">
          <a:extLst>
            <a:ext uri="{FF2B5EF4-FFF2-40B4-BE49-F238E27FC236}">
              <a16:creationId xmlns:a16="http://schemas.microsoft.com/office/drawing/2014/main" id="{63B55378-939F-4C7D-B347-7170E242D0A6}"/>
            </a:ext>
          </a:extLst>
        </xdr:cNvPr>
        <xdr:cNvSpPr/>
      </xdr:nvSpPr>
      <xdr:spPr>
        <a:xfrm>
          <a:off x="243568" y="93885"/>
          <a:ext cx="25280630" cy="23682037"/>
        </a:xfrm>
        <a:prstGeom prst="roundRect">
          <a:avLst>
            <a:gd name="adj" fmla="val 4060"/>
          </a:avLst>
        </a:prstGeom>
        <a:gradFill>
          <a:gsLst>
            <a:gs pos="0">
              <a:srgbClr val="1C1C58"/>
            </a:gs>
            <a:gs pos="81000">
              <a:srgbClr val="010103"/>
            </a:gs>
          </a:gsLst>
          <a:path path="circle">
            <a:fillToRect r="100000" b="100000"/>
          </a:path>
        </a:gradFill>
        <a:ln w="9525">
          <a:gradFill flip="none" rotWithShape="1">
            <a:gsLst>
              <a:gs pos="75000">
                <a:srgbClr val="000B27"/>
              </a:gs>
              <a:gs pos="60000">
                <a:srgbClr val="1C1C58"/>
              </a:gs>
              <a:gs pos="0">
                <a:schemeClr val="bg1"/>
              </a:gs>
              <a:gs pos="42000">
                <a:srgbClr val="29BFFB"/>
              </a:gs>
              <a:gs pos="100000">
                <a:srgbClr val="9E78F9"/>
              </a:gs>
            </a:gsLst>
            <a:path path="circle">
              <a:fillToRect r="100000" b="100000"/>
            </a:path>
            <a:tileRect l="-100000" t="-100000"/>
          </a:gradFill>
        </a:ln>
        <a:effectLst>
          <a:outerShdw blurRad="381000" dist="114300" dir="13500000" algn="br" rotWithShape="0">
            <a:srgbClr val="00B0F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492331</xdr:colOff>
      <xdr:row>2</xdr:row>
      <xdr:rowOff>133595</xdr:rowOff>
    </xdr:from>
    <xdr:to>
      <xdr:col>4</xdr:col>
      <xdr:colOff>363682</xdr:colOff>
      <xdr:row>14</xdr:row>
      <xdr:rowOff>103908</xdr:rowOff>
    </xdr:to>
    <xdr:sp macro="" textlink="">
      <xdr:nvSpPr>
        <xdr:cNvPr id="4" name="Rectangle: Rounded Corners 3">
          <a:extLst>
            <a:ext uri="{FF2B5EF4-FFF2-40B4-BE49-F238E27FC236}">
              <a16:creationId xmlns:a16="http://schemas.microsoft.com/office/drawing/2014/main" id="{87800ABC-2521-41AF-9889-84DE221E0DD1}"/>
            </a:ext>
          </a:extLst>
        </xdr:cNvPr>
        <xdr:cNvSpPr/>
      </xdr:nvSpPr>
      <xdr:spPr>
        <a:xfrm>
          <a:off x="492331" y="514595"/>
          <a:ext cx="2295896" cy="2256313"/>
        </a:xfrm>
        <a:prstGeom prst="roundRect">
          <a:avLst>
            <a:gd name="adj" fmla="val 13200"/>
          </a:avLst>
        </a:prstGeom>
        <a:gradFill flip="none" rotWithShape="1">
          <a:gsLst>
            <a:gs pos="53000">
              <a:srgbClr val="050B29"/>
            </a:gs>
            <a:gs pos="100000">
              <a:srgbClr val="105BA0"/>
            </a:gs>
          </a:gsLst>
          <a:path path="circle">
            <a:fillToRect l="50000" t="130000" r="50000" b="-3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313561</xdr:colOff>
      <xdr:row>4</xdr:row>
      <xdr:rowOff>110190</xdr:rowOff>
    </xdr:from>
    <xdr:to>
      <xdr:col>4</xdr:col>
      <xdr:colOff>51955</xdr:colOff>
      <xdr:row>12</xdr:row>
      <xdr:rowOff>155864</xdr:rowOff>
    </xdr:to>
    <xdr:grpSp>
      <xdr:nvGrpSpPr>
        <xdr:cNvPr id="5" name="Group 4">
          <a:extLst>
            <a:ext uri="{FF2B5EF4-FFF2-40B4-BE49-F238E27FC236}">
              <a16:creationId xmlns:a16="http://schemas.microsoft.com/office/drawing/2014/main" id="{F8288613-2D3A-49EB-AA31-C3843CC89A46}"/>
            </a:ext>
          </a:extLst>
        </xdr:cNvPr>
        <xdr:cNvGrpSpPr/>
      </xdr:nvGrpSpPr>
      <xdr:grpSpPr>
        <a:xfrm>
          <a:off x="932686" y="872190"/>
          <a:ext cx="1595769" cy="1569674"/>
          <a:chOff x="4010498" y="2825095"/>
          <a:chExt cx="4171004" cy="4032905"/>
        </a:xfrm>
      </xdr:grpSpPr>
      <xdr:sp macro="" textlink="">
        <xdr:nvSpPr>
          <xdr:cNvPr id="6" name="Freeform: Shape 5">
            <a:extLst>
              <a:ext uri="{FF2B5EF4-FFF2-40B4-BE49-F238E27FC236}">
                <a16:creationId xmlns:a16="http://schemas.microsoft.com/office/drawing/2014/main" id="{A25E40D7-735D-41F2-BF3B-D1F452311048}"/>
              </a:ext>
            </a:extLst>
          </xdr:cNvPr>
          <xdr:cNvSpPr/>
        </xdr:nvSpPr>
        <xdr:spPr>
          <a:xfrm flipH="1">
            <a:off x="4400175" y="2825095"/>
            <a:ext cx="3391650" cy="3746043"/>
          </a:xfrm>
          <a:custGeom>
            <a:avLst/>
            <a:gdLst>
              <a:gd name="csX0" fmla="*/ 1683927 w 3367854"/>
              <a:gd name="csY0" fmla="*/ 48315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851517 w 3367854"/>
              <a:gd name="csY6" fmla="*/ 50 h 3746043"/>
              <a:gd name="csX7" fmla="*/ 1691195 w 3367854"/>
              <a:gd name="csY7" fmla="*/ 28960 h 3746043"/>
              <a:gd name="csX8" fmla="*/ 1683927 w 3367854"/>
              <a:gd name="csY8" fmla="*/ 33301 h 3746043"/>
              <a:gd name="csX9" fmla="*/ 1676660 w 3367854"/>
              <a:gd name="csY9" fmla="*/ 28960 h 3746043"/>
              <a:gd name="csX10" fmla="*/ 664787 w 3367854"/>
              <a:gd name="csY10" fmla="*/ 406156 h 3746043"/>
              <a:gd name="csX11" fmla="*/ 1514396 w 3367854"/>
              <a:gd name="csY11" fmla="*/ 3727318 h 3746043"/>
              <a:gd name="csX12" fmla="*/ 1681987 w 3367854"/>
              <a:gd name="csY12" fmla="*/ 3745620 h 3746043"/>
              <a:gd name="csX13" fmla="*/ 1681987 w 3367854"/>
              <a:gd name="csY13" fmla="*/ 3746043 h 3746043"/>
              <a:gd name="csX14" fmla="*/ 1683927 w 3367854"/>
              <a:gd name="csY14" fmla="*/ 3745831 h 3746043"/>
              <a:gd name="csX15" fmla="*/ 1685867 w 3367854"/>
              <a:gd name="csY15" fmla="*/ 3746043 h 3746043"/>
              <a:gd name="csX16" fmla="*/ 1685867 w 3367854"/>
              <a:gd name="csY16" fmla="*/ 3745620 h 3746043"/>
              <a:gd name="csX17" fmla="*/ 1853458 w 3367854"/>
              <a:gd name="csY17" fmla="*/ 3727318 h 3746043"/>
              <a:gd name="csX18" fmla="*/ 2703067 w 3367854"/>
              <a:gd name="csY18" fmla="*/ 406156 h 3746043"/>
              <a:gd name="csX19" fmla="*/ 1851517 w 3367854"/>
              <a:gd name="csY19"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367854" h="3746043">
                <a:moveTo>
                  <a:pt x="1567087" y="437432"/>
                </a:moveTo>
                <a:cubicBezTo>
                  <a:pt x="1611182" y="457819"/>
                  <a:pt x="1772116" y="523927"/>
                  <a:pt x="1816211" y="544314"/>
                </a:cubicBezTo>
                <a:cubicBezTo>
                  <a:pt x="3615393" y="1442245"/>
                  <a:pt x="3136714" y="3234693"/>
                  <a:pt x="1807528" y="3476797"/>
                </a:cubicBezTo>
                <a:lnTo>
                  <a:pt x="1683927" y="3494059"/>
                </a:lnTo>
                <a:lnTo>
                  <a:pt x="1560326" y="3476797"/>
                </a:lnTo>
                <a:cubicBezTo>
                  <a:pt x="231141" y="3234693"/>
                  <a:pt x="-405019" y="1498125"/>
                  <a:pt x="1312883" y="564634"/>
                </a:cubicBezTo>
                <a:cubicBezTo>
                  <a:pt x="1356978" y="544247"/>
                  <a:pt x="1522992" y="457819"/>
                  <a:pt x="1567087" y="437432"/>
                </a:cubicBezTo>
                <a:close/>
                <a:moveTo>
                  <a:pt x="1851517" y="50"/>
                </a:moveTo>
                <a:cubicBezTo>
                  <a:pt x="1788025" y="-826"/>
                  <a:pt x="1734666" y="9870"/>
                  <a:pt x="1691195" y="28960"/>
                </a:cubicBezTo>
                <a:lnTo>
                  <a:pt x="1683927" y="33301"/>
                </a:lnTo>
                <a:lnTo>
                  <a:pt x="1676660" y="28960"/>
                </a:lnTo>
                <a:cubicBezTo>
                  <a:pt x="1502776" y="-47400"/>
                  <a:pt x="1170671" y="10545"/>
                  <a:pt x="664787" y="406156"/>
                </a:cubicBezTo>
                <a:cubicBezTo>
                  <a:pt x="-417478" y="1408725"/>
                  <a:pt x="-208556" y="3474353"/>
                  <a:pt x="1514396" y="3727318"/>
                </a:cubicBezTo>
                <a:lnTo>
                  <a:pt x="1681987" y="3745620"/>
                </a:lnTo>
                <a:lnTo>
                  <a:pt x="1681987" y="3746043"/>
                </a:lnTo>
                <a:lnTo>
                  <a:pt x="1683927" y="3745831"/>
                </a:lnTo>
                <a:lnTo>
                  <a:pt x="1685867" y="3746043"/>
                </a:lnTo>
                <a:lnTo>
                  <a:pt x="1685867" y="3745620"/>
                </a:lnTo>
                <a:lnTo>
                  <a:pt x="1853458" y="3727318"/>
                </a:lnTo>
                <a:cubicBezTo>
                  <a:pt x="3576410" y="3474353"/>
                  <a:pt x="3785332" y="1408725"/>
                  <a:pt x="2703067" y="406156"/>
                </a:cubicBezTo>
                <a:cubicBezTo>
                  <a:pt x="2323655" y="109448"/>
                  <a:pt x="2041992" y="2677"/>
                  <a:pt x="1851517" y="50"/>
                </a:cubicBezTo>
                <a:close/>
              </a:path>
            </a:pathLst>
          </a:custGeom>
          <a:gradFill>
            <a:gsLst>
              <a:gs pos="10000">
                <a:srgbClr val="041F41">
                  <a:alpha val="70000"/>
                </a:srgbClr>
              </a:gs>
              <a:gs pos="100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 name="Freeform: Shape 6">
            <a:extLst>
              <a:ext uri="{FF2B5EF4-FFF2-40B4-BE49-F238E27FC236}">
                <a16:creationId xmlns:a16="http://schemas.microsoft.com/office/drawing/2014/main" id="{268D180B-6F52-EC53-83A4-78AF1185C9A7}"/>
              </a:ext>
            </a:extLst>
          </xdr:cNvPr>
          <xdr:cNvSpPr/>
        </xdr:nvSpPr>
        <xdr:spPr>
          <a:xfrm flipH="1">
            <a:off x="4400175" y="2932787"/>
            <a:ext cx="3391650" cy="3680599"/>
          </a:xfrm>
          <a:custGeom>
            <a:avLst/>
            <a:gdLst>
              <a:gd name="csX0" fmla="*/ 2304891 w 3199659"/>
              <a:gd name="csY0" fmla="*/ 879 h 3680599"/>
              <a:gd name="csX1" fmla="*/ 2306096 w 3199659"/>
              <a:gd name="csY1" fmla="*/ 178788 h 3680599"/>
              <a:gd name="csX2" fmla="*/ 1856766 w 3199659"/>
              <a:gd name="csY2" fmla="*/ 3371353 h 3680599"/>
              <a:gd name="csX3" fmla="*/ 1599830 w 3199659"/>
              <a:gd name="csY3" fmla="*/ 3428638 h 3680599"/>
              <a:gd name="csX4" fmla="*/ 1342895 w 3199659"/>
              <a:gd name="csY4" fmla="*/ 3371353 h 3680599"/>
              <a:gd name="csX5" fmla="*/ 893564 w 3199659"/>
              <a:gd name="csY5" fmla="*/ 178788 h 3680599"/>
              <a:gd name="csX6" fmla="*/ 230624 w 3199659"/>
              <a:gd name="csY6" fmla="*/ 482952 h 3680599"/>
              <a:gd name="csX7" fmla="*/ 1597144 w 3199659"/>
              <a:gd name="csY7" fmla="*/ 3680599 h 3680599"/>
              <a:gd name="csX8" fmla="*/ 1598256 w 3199659"/>
              <a:gd name="csY8" fmla="*/ 3606119 h 3680599"/>
              <a:gd name="csX9" fmla="*/ 1599830 w 3199659"/>
              <a:gd name="csY9" fmla="*/ 3586016 h 3680599"/>
              <a:gd name="csX10" fmla="*/ 1601405 w 3199659"/>
              <a:gd name="csY10" fmla="*/ 3606119 h 3680599"/>
              <a:gd name="csX11" fmla="*/ 1602516 w 3199659"/>
              <a:gd name="csY11" fmla="*/ 3680599 h 3680599"/>
              <a:gd name="csX12" fmla="*/ 2969036 w 3199659"/>
              <a:gd name="csY12" fmla="*/ 482952 h 3680599"/>
              <a:gd name="csX13" fmla="*/ 2304891 w 3199659"/>
              <a:gd name="csY13" fmla="*/ 879 h 36805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199659" h="3680599">
                <a:moveTo>
                  <a:pt x="2304891" y="879"/>
                </a:moveTo>
                <a:cubicBezTo>
                  <a:pt x="2227277" y="8969"/>
                  <a:pt x="2210846" y="72581"/>
                  <a:pt x="2306096" y="178788"/>
                </a:cubicBezTo>
                <a:cubicBezTo>
                  <a:pt x="3634834" y="1733504"/>
                  <a:pt x="3129265" y="3014080"/>
                  <a:pt x="1856766" y="3371353"/>
                </a:cubicBezTo>
                <a:lnTo>
                  <a:pt x="1599830" y="3428638"/>
                </a:lnTo>
                <a:lnTo>
                  <a:pt x="1342895" y="3371353"/>
                </a:lnTo>
                <a:cubicBezTo>
                  <a:pt x="70396" y="3014080"/>
                  <a:pt x="-435174" y="1733504"/>
                  <a:pt x="893564" y="178788"/>
                </a:cubicBezTo>
                <a:cubicBezTo>
                  <a:pt x="1147564" y="-104430"/>
                  <a:pt x="607391" y="-84751"/>
                  <a:pt x="230624" y="482952"/>
                </a:cubicBezTo>
                <a:cubicBezTo>
                  <a:pt x="-144873" y="1370541"/>
                  <a:pt x="-282456" y="3543281"/>
                  <a:pt x="1597144" y="3680599"/>
                </a:cubicBezTo>
                <a:cubicBezTo>
                  <a:pt x="1596721" y="3649158"/>
                  <a:pt x="1597250" y="3625654"/>
                  <a:pt x="1598256" y="3606119"/>
                </a:cubicBezTo>
                <a:lnTo>
                  <a:pt x="1599830" y="3586016"/>
                </a:lnTo>
                <a:lnTo>
                  <a:pt x="1601405" y="3606119"/>
                </a:lnTo>
                <a:cubicBezTo>
                  <a:pt x="1602410" y="3625654"/>
                  <a:pt x="1602939" y="3649158"/>
                  <a:pt x="1602516" y="3680599"/>
                </a:cubicBezTo>
                <a:cubicBezTo>
                  <a:pt x="3482116" y="3543281"/>
                  <a:pt x="3344533" y="1370541"/>
                  <a:pt x="2969036" y="482952"/>
                </a:cubicBezTo>
                <a:cubicBezTo>
                  <a:pt x="2733557" y="128137"/>
                  <a:pt x="2434247" y="-12605"/>
                  <a:pt x="2304891" y="879"/>
                </a:cubicBezTo>
                <a:close/>
              </a:path>
            </a:pathLst>
          </a:custGeom>
          <a:gradFill>
            <a:gsLst>
              <a:gs pos="0">
                <a:srgbClr val="041F41">
                  <a:alpha val="70000"/>
                </a:srgbClr>
              </a:gs>
              <a:gs pos="100000">
                <a:srgbClr val="3F9BEF"/>
              </a:gs>
              <a:gs pos="55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Freeform: Shape 7">
            <a:extLst>
              <a:ext uri="{FF2B5EF4-FFF2-40B4-BE49-F238E27FC236}">
                <a16:creationId xmlns:a16="http://schemas.microsoft.com/office/drawing/2014/main" id="{DD29D17F-5E8C-E45E-7B40-460CA0E4C157}"/>
              </a:ext>
            </a:extLst>
          </xdr:cNvPr>
          <xdr:cNvSpPr/>
        </xdr:nvSpPr>
        <xdr:spPr>
          <a:xfrm flipH="1">
            <a:off x="4212607" y="3249601"/>
            <a:ext cx="3766787" cy="3392015"/>
          </a:xfrm>
          <a:custGeom>
            <a:avLst/>
            <a:gdLst>
              <a:gd name="csX0" fmla="*/ 3219633 w 3577267"/>
              <a:gd name="csY0" fmla="*/ 109 h 3392015"/>
              <a:gd name="csX1" fmla="*/ 3173338 w 3577267"/>
              <a:gd name="csY1" fmla="*/ 291524 h 3392015"/>
              <a:gd name="csX2" fmla="*/ 2040719 w 3577267"/>
              <a:gd name="csY2" fmla="*/ 3100168 h 3392015"/>
              <a:gd name="csX3" fmla="*/ 1788634 w 3577267"/>
              <a:gd name="csY3" fmla="*/ 3140173 h 3392015"/>
              <a:gd name="csX4" fmla="*/ 1536548 w 3577267"/>
              <a:gd name="csY4" fmla="*/ 3100168 h 3392015"/>
              <a:gd name="csX5" fmla="*/ 403929 w 3577267"/>
              <a:gd name="csY5" fmla="*/ 291524 h 3392015"/>
              <a:gd name="csX6" fmla="*/ 172789 w 3577267"/>
              <a:gd name="csY6" fmla="*/ 240088 h 3392015"/>
              <a:gd name="csX7" fmla="*/ 1788229 w 3577267"/>
              <a:gd name="csY7" fmla="*/ 3392015 h 3392015"/>
              <a:gd name="csX8" fmla="*/ 1788249 w 3577267"/>
              <a:gd name="csY8" fmla="*/ 3350310 h 3392015"/>
              <a:gd name="csX9" fmla="*/ 1788634 w 3577267"/>
              <a:gd name="csY9" fmla="*/ 3338762 h 3392015"/>
              <a:gd name="csX10" fmla="*/ 1789018 w 3577267"/>
              <a:gd name="csY10" fmla="*/ 3350310 h 3392015"/>
              <a:gd name="csX11" fmla="*/ 1789038 w 3577267"/>
              <a:gd name="csY11" fmla="*/ 3392015 h 3392015"/>
              <a:gd name="csX12" fmla="*/ 3404478 w 3577267"/>
              <a:gd name="csY12" fmla="*/ 240088 h 3392015"/>
              <a:gd name="csX13" fmla="*/ 3219633 w 3577267"/>
              <a:gd name="csY13" fmla="*/ 109 h 33920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577267" h="3392015">
                <a:moveTo>
                  <a:pt x="3219633" y="109"/>
                </a:moveTo>
                <a:cubicBezTo>
                  <a:pt x="3159765" y="4270"/>
                  <a:pt x="3133333" y="126499"/>
                  <a:pt x="3173338" y="291524"/>
                </a:cubicBezTo>
                <a:cubicBezTo>
                  <a:pt x="3701976" y="1803378"/>
                  <a:pt x="3293740" y="2840173"/>
                  <a:pt x="2040719" y="3100168"/>
                </a:cubicBezTo>
                <a:lnTo>
                  <a:pt x="1788634" y="3140173"/>
                </a:lnTo>
                <a:lnTo>
                  <a:pt x="1536548" y="3100168"/>
                </a:lnTo>
                <a:cubicBezTo>
                  <a:pt x="283527" y="2840173"/>
                  <a:pt x="-124709" y="1803378"/>
                  <a:pt x="403929" y="291524"/>
                </a:cubicBezTo>
                <a:cubicBezTo>
                  <a:pt x="475049" y="-1853"/>
                  <a:pt x="336196" y="-159975"/>
                  <a:pt x="172789" y="240088"/>
                </a:cubicBezTo>
                <a:cubicBezTo>
                  <a:pt x="-202708" y="1127677"/>
                  <a:pt x="-91371" y="3254697"/>
                  <a:pt x="1788229" y="3392015"/>
                </a:cubicBezTo>
                <a:cubicBezTo>
                  <a:pt x="1788018" y="3376295"/>
                  <a:pt x="1788044" y="3362558"/>
                  <a:pt x="1788249" y="3350310"/>
                </a:cubicBezTo>
                <a:lnTo>
                  <a:pt x="1788634" y="3338762"/>
                </a:lnTo>
                <a:lnTo>
                  <a:pt x="1789018" y="3350310"/>
                </a:lnTo>
                <a:cubicBezTo>
                  <a:pt x="1789223" y="3362558"/>
                  <a:pt x="1789250" y="3376295"/>
                  <a:pt x="1789038" y="3392015"/>
                </a:cubicBezTo>
                <a:cubicBezTo>
                  <a:pt x="3668638" y="3254697"/>
                  <a:pt x="3779975" y="1127677"/>
                  <a:pt x="3404478" y="240088"/>
                </a:cubicBezTo>
                <a:cubicBezTo>
                  <a:pt x="3332988" y="65060"/>
                  <a:pt x="3266197" y="-3127"/>
                  <a:pt x="3219633" y="109"/>
                </a:cubicBezTo>
                <a:close/>
              </a:path>
            </a:pathLst>
          </a:custGeom>
          <a:gradFill>
            <a:gsLst>
              <a:gs pos="1000">
                <a:srgbClr val="041F41">
                  <a:alpha val="70000"/>
                </a:srgbClr>
              </a:gs>
              <a:gs pos="55000">
                <a:srgbClr val="106CC2"/>
              </a:gs>
              <a:gs pos="100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Freeform: Shape 8">
            <a:extLst>
              <a:ext uri="{FF2B5EF4-FFF2-40B4-BE49-F238E27FC236}">
                <a16:creationId xmlns:a16="http://schemas.microsoft.com/office/drawing/2014/main" id="{34EC97EE-5B2A-76B8-075C-7C6955278D7D}"/>
              </a:ext>
            </a:extLst>
          </xdr:cNvPr>
          <xdr:cNvSpPr/>
        </xdr:nvSpPr>
        <xdr:spPr>
          <a:xfrm flipH="1">
            <a:off x="4108419" y="3792132"/>
            <a:ext cx="3975163" cy="2949345"/>
          </a:xfrm>
          <a:custGeom>
            <a:avLst/>
            <a:gdLst>
              <a:gd name="csX0" fmla="*/ 3729374 w 3816142"/>
              <a:gd name="csY0" fmla="*/ 553 h 2949345"/>
              <a:gd name="csX1" fmla="*/ 3661037 w 3816142"/>
              <a:gd name="csY1" fmla="*/ 265414 h 2949345"/>
              <a:gd name="csX2" fmla="*/ 2063611 w 3816142"/>
              <a:gd name="csY2" fmla="*/ 2639401 h 2949345"/>
              <a:gd name="csX3" fmla="*/ 1908071 w 3816142"/>
              <a:gd name="csY3" fmla="*/ 2668168 h 2949345"/>
              <a:gd name="csX4" fmla="*/ 1752531 w 3816142"/>
              <a:gd name="csY4" fmla="*/ 2639401 h 2949345"/>
              <a:gd name="csX5" fmla="*/ 155105 w 3816142"/>
              <a:gd name="csY5" fmla="*/ 265414 h 2949345"/>
              <a:gd name="csX6" fmla="*/ 15405 w 3816142"/>
              <a:gd name="csY6" fmla="*/ 178417 h 2949345"/>
              <a:gd name="csX7" fmla="*/ 1734797 w 3816142"/>
              <a:gd name="csY7" fmla="*/ 2902451 h 2949345"/>
              <a:gd name="csX8" fmla="*/ 1905908 w 3816142"/>
              <a:gd name="csY8" fmla="*/ 2948186 h 2949345"/>
              <a:gd name="csX9" fmla="*/ 1905897 w 3816142"/>
              <a:gd name="csY9" fmla="*/ 2949345 h 2949345"/>
              <a:gd name="csX10" fmla="*/ 1908071 w 3816142"/>
              <a:gd name="csY10" fmla="*/ 2948764 h 2949345"/>
              <a:gd name="csX11" fmla="*/ 1910245 w 3816142"/>
              <a:gd name="csY11" fmla="*/ 2949345 h 2949345"/>
              <a:gd name="csX12" fmla="*/ 1910234 w 3816142"/>
              <a:gd name="csY12" fmla="*/ 2948186 h 2949345"/>
              <a:gd name="csX13" fmla="*/ 2081346 w 3816142"/>
              <a:gd name="csY13" fmla="*/ 2902451 h 2949345"/>
              <a:gd name="csX14" fmla="*/ 3800737 w 3816142"/>
              <a:gd name="csY14" fmla="*/ 178417 h 2949345"/>
              <a:gd name="csX15" fmla="*/ 3729374 w 3816142"/>
              <a:gd name="csY15" fmla="*/ 553 h 29493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3816142" h="2949345">
                <a:moveTo>
                  <a:pt x="3729374" y="553"/>
                </a:moveTo>
                <a:cubicBezTo>
                  <a:pt x="3685511" y="-9183"/>
                  <a:pt x="3645162" y="110628"/>
                  <a:pt x="3661037" y="265414"/>
                </a:cubicBezTo>
                <a:cubicBezTo>
                  <a:pt x="3651195" y="986129"/>
                  <a:pt x="3642147" y="2305638"/>
                  <a:pt x="2063611" y="2639401"/>
                </a:cubicBezTo>
                <a:lnTo>
                  <a:pt x="1908071" y="2668168"/>
                </a:lnTo>
                <a:lnTo>
                  <a:pt x="1752531" y="2639401"/>
                </a:lnTo>
                <a:cubicBezTo>
                  <a:pt x="173995" y="2305638"/>
                  <a:pt x="164948" y="986129"/>
                  <a:pt x="155105" y="265414"/>
                </a:cubicBezTo>
                <a:cubicBezTo>
                  <a:pt x="180505" y="17757"/>
                  <a:pt x="61972" y="-140366"/>
                  <a:pt x="15405" y="178417"/>
                </a:cubicBezTo>
                <a:cubicBezTo>
                  <a:pt x="-43240" y="772520"/>
                  <a:pt x="-21633" y="2382012"/>
                  <a:pt x="1734797" y="2902451"/>
                </a:cubicBezTo>
                <a:lnTo>
                  <a:pt x="1905908" y="2948186"/>
                </a:lnTo>
                <a:lnTo>
                  <a:pt x="1905897" y="2949345"/>
                </a:lnTo>
                <a:lnTo>
                  <a:pt x="1908071" y="2948764"/>
                </a:lnTo>
                <a:lnTo>
                  <a:pt x="1910245" y="2949345"/>
                </a:lnTo>
                <a:lnTo>
                  <a:pt x="1910234" y="2948186"/>
                </a:lnTo>
                <a:lnTo>
                  <a:pt x="2081346" y="2902451"/>
                </a:lnTo>
                <a:cubicBezTo>
                  <a:pt x="3837775" y="2382012"/>
                  <a:pt x="3859382" y="772520"/>
                  <a:pt x="3800737" y="178417"/>
                </a:cubicBezTo>
                <a:cubicBezTo>
                  <a:pt x="3783274" y="58874"/>
                  <a:pt x="3755692" y="6395"/>
                  <a:pt x="3729374" y="553"/>
                </a:cubicBezTo>
                <a:close/>
              </a:path>
            </a:pathLst>
          </a:custGeom>
          <a:gradFill>
            <a:gsLst>
              <a:gs pos="0">
                <a:srgbClr val="041F41">
                  <a:alpha val="70000"/>
                </a:srgbClr>
              </a:gs>
              <a:gs pos="23000">
                <a:srgbClr val="106CC2"/>
              </a:gs>
              <a:gs pos="73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reeform: Shape 9">
            <a:extLst>
              <a:ext uri="{FF2B5EF4-FFF2-40B4-BE49-F238E27FC236}">
                <a16:creationId xmlns:a16="http://schemas.microsoft.com/office/drawing/2014/main" id="{334FD5ED-FC43-7E77-3C41-AC18B180487B}"/>
              </a:ext>
            </a:extLst>
          </xdr:cNvPr>
          <xdr:cNvSpPr/>
        </xdr:nvSpPr>
        <xdr:spPr>
          <a:xfrm flipH="1">
            <a:off x="4010498" y="4244802"/>
            <a:ext cx="4171004" cy="2613198"/>
          </a:xfrm>
          <a:custGeom>
            <a:avLst/>
            <a:gdLst>
              <a:gd name="csX0" fmla="*/ 3947041 w 4019623"/>
              <a:gd name="csY0" fmla="*/ 633 h 2613198"/>
              <a:gd name="csX1" fmla="*/ 3836316 w 4019623"/>
              <a:gd name="csY1" fmla="*/ 460890 h 2613198"/>
              <a:gd name="csX2" fmla="*/ 2010056 w 4019623"/>
              <a:gd name="csY2" fmla="*/ 2279530 h 2613198"/>
              <a:gd name="csX3" fmla="*/ 2009786 w 4019623"/>
              <a:gd name="csY3" fmla="*/ 2297122 h 2613198"/>
              <a:gd name="csX4" fmla="*/ 2009568 w 4019623"/>
              <a:gd name="csY4" fmla="*/ 2282998 h 2613198"/>
              <a:gd name="csX5" fmla="*/ 183308 w 4019623"/>
              <a:gd name="csY5" fmla="*/ 464358 h 2613198"/>
              <a:gd name="csX6" fmla="*/ 28368 w 4019623"/>
              <a:gd name="csY6" fmla="*/ 68118 h 2613198"/>
              <a:gd name="csX7" fmla="*/ 1816528 w 4019623"/>
              <a:gd name="csY7" fmla="*/ 2465878 h 2613198"/>
              <a:gd name="csX8" fmla="*/ 1982621 w 4019623"/>
              <a:gd name="csY8" fmla="*/ 2558628 h 2613198"/>
              <a:gd name="csX9" fmla="*/ 2005171 w 4019623"/>
              <a:gd name="csY9" fmla="*/ 2597051 h 2613198"/>
              <a:gd name="csX10" fmla="*/ 2004976 w 4019623"/>
              <a:gd name="csY10" fmla="*/ 2609730 h 2613198"/>
              <a:gd name="csX11" fmla="*/ 2008795 w 4019623"/>
              <a:gd name="csY11" fmla="*/ 2603224 h 2613198"/>
              <a:gd name="csX12" fmla="*/ 2014648 w 4019623"/>
              <a:gd name="csY12" fmla="*/ 2613198 h 2613198"/>
              <a:gd name="csX13" fmla="*/ 2014349 w 4019623"/>
              <a:gd name="csY13" fmla="*/ 2593760 h 2613198"/>
              <a:gd name="csX14" fmla="*/ 2037004 w 4019623"/>
              <a:gd name="csY14" fmla="*/ 2555160 h 2613198"/>
              <a:gd name="csX15" fmla="*/ 2203096 w 4019623"/>
              <a:gd name="csY15" fmla="*/ 2462410 h 2613198"/>
              <a:gd name="csX16" fmla="*/ 3991256 w 4019623"/>
              <a:gd name="csY16" fmla="*/ 64650 h 2613198"/>
              <a:gd name="csX17" fmla="*/ 3947041 w 4019623"/>
              <a:gd name="csY17" fmla="*/ 633 h 26131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4019623" h="2613198">
                <a:moveTo>
                  <a:pt x="3947041" y="633"/>
                </a:moveTo>
                <a:cubicBezTo>
                  <a:pt x="3893155" y="-15235"/>
                  <a:pt x="3877591" y="270337"/>
                  <a:pt x="3836316" y="460890"/>
                </a:cubicBezTo>
                <a:cubicBezTo>
                  <a:pt x="3729636" y="1058637"/>
                  <a:pt x="3420603" y="2081410"/>
                  <a:pt x="2010056" y="2279530"/>
                </a:cubicBezTo>
                <a:lnTo>
                  <a:pt x="2009786" y="2297122"/>
                </a:lnTo>
                <a:lnTo>
                  <a:pt x="2009568" y="2282998"/>
                </a:lnTo>
                <a:cubicBezTo>
                  <a:pt x="599021" y="2084878"/>
                  <a:pt x="289988" y="1062105"/>
                  <a:pt x="183308" y="464358"/>
                </a:cubicBezTo>
                <a:cubicBezTo>
                  <a:pt x="132508" y="229831"/>
                  <a:pt x="120655" y="-148629"/>
                  <a:pt x="28368" y="68118"/>
                </a:cubicBezTo>
                <a:cubicBezTo>
                  <a:pt x="-127419" y="816571"/>
                  <a:pt x="343328" y="2245745"/>
                  <a:pt x="1816528" y="2465878"/>
                </a:cubicBezTo>
                <a:cubicBezTo>
                  <a:pt x="1917493" y="2480483"/>
                  <a:pt x="1951783" y="2510328"/>
                  <a:pt x="1982621" y="2558628"/>
                </a:cubicBezTo>
                <a:lnTo>
                  <a:pt x="2005171" y="2597051"/>
                </a:lnTo>
                <a:lnTo>
                  <a:pt x="2004976" y="2609730"/>
                </a:lnTo>
                <a:lnTo>
                  <a:pt x="2008795" y="2603224"/>
                </a:lnTo>
                <a:lnTo>
                  <a:pt x="2014648" y="2613198"/>
                </a:lnTo>
                <a:lnTo>
                  <a:pt x="2014349" y="2593760"/>
                </a:lnTo>
                <a:lnTo>
                  <a:pt x="2037004" y="2555160"/>
                </a:lnTo>
                <a:cubicBezTo>
                  <a:pt x="2067841" y="2506860"/>
                  <a:pt x="2102131" y="2477015"/>
                  <a:pt x="2203096" y="2462410"/>
                </a:cubicBezTo>
                <a:cubicBezTo>
                  <a:pt x="3676296" y="2242277"/>
                  <a:pt x="4147043" y="813103"/>
                  <a:pt x="3991256" y="64650"/>
                </a:cubicBezTo>
                <a:cubicBezTo>
                  <a:pt x="3973952" y="24010"/>
                  <a:pt x="3959476" y="4295"/>
                  <a:pt x="3947041" y="633"/>
                </a:cubicBezTo>
                <a:close/>
              </a:path>
            </a:pathLst>
          </a:custGeom>
          <a:gradFill flip="none" rotWithShape="1">
            <a:gsLst>
              <a:gs pos="0">
                <a:srgbClr val="041F41">
                  <a:alpha val="70000"/>
                </a:srgbClr>
              </a:gs>
              <a:gs pos="25200">
                <a:srgbClr val="064BAE"/>
              </a:gs>
              <a:gs pos="56000">
                <a:srgbClr val="00E8FF"/>
              </a:gs>
              <a:gs pos="100000">
                <a:schemeClr val="bg1"/>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57645</xdr:colOff>
      <xdr:row>6</xdr:row>
      <xdr:rowOff>27676</xdr:rowOff>
    </xdr:from>
    <xdr:to>
      <xdr:col>3</xdr:col>
      <xdr:colOff>311727</xdr:colOff>
      <xdr:row>11</xdr:row>
      <xdr:rowOff>17317</xdr:rowOff>
    </xdr:to>
    <xdr:sp macro="" textlink="">
      <xdr:nvSpPr>
        <xdr:cNvPr id="11" name="Graphic 3" descr="Lightning bolt with solid fill">
          <a:extLst>
            <a:ext uri="{FF2B5EF4-FFF2-40B4-BE49-F238E27FC236}">
              <a16:creationId xmlns:a16="http://schemas.microsoft.com/office/drawing/2014/main" id="{E0E86C56-ED63-4AD4-9C31-85FEEC9F4594}"/>
            </a:ext>
          </a:extLst>
        </xdr:cNvPr>
        <xdr:cNvSpPr/>
      </xdr:nvSpPr>
      <xdr:spPr>
        <a:xfrm>
          <a:off x="1269918" y="1170676"/>
          <a:ext cx="860218" cy="942141"/>
        </a:xfrm>
        <a:custGeom>
          <a:avLst/>
          <a:gdLst>
            <a:gd name="csX0" fmla="*/ 57150 w 381000"/>
            <a:gd name="csY0" fmla="*/ 778764 h 778764"/>
            <a:gd name="csX1" fmla="*/ 161925 w 381000"/>
            <a:gd name="csY1" fmla="*/ 426339 h 778764"/>
            <a:gd name="csX2" fmla="*/ 0 w 381000"/>
            <a:gd name="csY2" fmla="*/ 426339 h 778764"/>
            <a:gd name="csX3" fmla="*/ 80200 w 381000"/>
            <a:gd name="csY3" fmla="*/ 0 h 778764"/>
            <a:gd name="csX4" fmla="*/ 319850 w 381000"/>
            <a:gd name="csY4" fmla="*/ 0 h 778764"/>
            <a:gd name="csX5" fmla="*/ 219075 w 381000"/>
            <a:gd name="csY5" fmla="*/ 312039 h 778764"/>
            <a:gd name="csX6" fmla="*/ 381000 w 381000"/>
            <a:gd name="csY6" fmla="*/ 312039 h 778764"/>
            <a:gd name="csX7" fmla="*/ 57150 w 381000"/>
            <a:gd name="csY7" fmla="*/ 778764 h 778764"/>
            <a:gd name="csX0" fmla="*/ 57150 w 381000"/>
            <a:gd name="csY0" fmla="*/ 778764 h 778764"/>
            <a:gd name="csX1" fmla="*/ 161925 w 381000"/>
            <a:gd name="csY1" fmla="*/ 426339 h 778764"/>
            <a:gd name="csX2" fmla="*/ 0 w 381000"/>
            <a:gd name="csY2" fmla="*/ 426339 h 778764"/>
            <a:gd name="csX3" fmla="*/ 319850 w 381000"/>
            <a:gd name="csY3" fmla="*/ 0 h 778764"/>
            <a:gd name="csX4" fmla="*/ 219075 w 381000"/>
            <a:gd name="csY4" fmla="*/ 312039 h 778764"/>
            <a:gd name="csX5" fmla="*/ 381000 w 381000"/>
            <a:gd name="csY5" fmla="*/ 312039 h 778764"/>
            <a:gd name="csX6" fmla="*/ 57150 w 381000"/>
            <a:gd name="csY6" fmla="*/ 778764 h 77876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381000" h="778764">
              <a:moveTo>
                <a:pt x="57150" y="778764"/>
              </a:moveTo>
              <a:lnTo>
                <a:pt x="161925" y="426339"/>
              </a:lnTo>
              <a:lnTo>
                <a:pt x="0" y="426339"/>
              </a:lnTo>
              <a:lnTo>
                <a:pt x="319850" y="0"/>
              </a:lnTo>
              <a:lnTo>
                <a:pt x="219075" y="312039"/>
              </a:lnTo>
              <a:lnTo>
                <a:pt x="381000" y="312039"/>
              </a:lnTo>
              <a:lnTo>
                <a:pt x="57150" y="778764"/>
              </a:lnTo>
              <a:close/>
            </a:path>
          </a:pathLst>
        </a:custGeom>
        <a:gradFill flip="none" rotWithShape="1">
          <a:gsLst>
            <a:gs pos="40000">
              <a:srgbClr val="9E78F9"/>
            </a:gs>
            <a:gs pos="60000">
              <a:srgbClr val="29BFFB"/>
            </a:gs>
          </a:gsLst>
          <a:lin ang="5400000" scaled="0"/>
          <a:tileRect/>
        </a:gradFill>
        <a:ln w="9525">
          <a:noFill/>
        </a:ln>
        <a:effectLst>
          <a:outerShdw blurRad="190500" dist="127000" dir="5400000" algn="tr" rotWithShape="0">
            <a:srgbClr val="9E78F9"/>
          </a:outerShdw>
        </a:effectLst>
      </xdr:spPr>
      <xdr:style>
        <a:lnRef idx="2">
          <a:schemeClr val="accent1">
            <a:shade val="15000"/>
          </a:schemeClr>
        </a:lnRef>
        <a:fillRef idx="1">
          <a:schemeClr val="accent1"/>
        </a:fillRef>
        <a:effectRef idx="0">
          <a:schemeClr val="accent1"/>
        </a:effectRef>
        <a:fontRef idx="minor">
          <a:schemeClr val="lt1"/>
        </a:fontRef>
      </xdr:style>
    </xdr:sp>
    <xdr:clientData/>
  </xdr:twoCellAnchor>
  <xdr:twoCellAnchor>
    <xdr:from>
      <xdr:col>4</xdr:col>
      <xdr:colOff>596241</xdr:colOff>
      <xdr:row>3</xdr:row>
      <xdr:rowOff>12370</xdr:rowOff>
    </xdr:from>
    <xdr:to>
      <xdr:col>39</xdr:col>
      <xdr:colOff>138545</xdr:colOff>
      <xdr:row>13</xdr:row>
      <xdr:rowOff>173182</xdr:rowOff>
    </xdr:to>
    <xdr:grpSp>
      <xdr:nvGrpSpPr>
        <xdr:cNvPr id="12" name="Group 11">
          <a:extLst>
            <a:ext uri="{FF2B5EF4-FFF2-40B4-BE49-F238E27FC236}">
              <a16:creationId xmlns:a16="http://schemas.microsoft.com/office/drawing/2014/main" id="{D97426DE-9826-4CCC-8093-2B9101C5F75B}"/>
            </a:ext>
          </a:extLst>
        </xdr:cNvPr>
        <xdr:cNvGrpSpPr/>
      </xdr:nvGrpSpPr>
      <xdr:grpSpPr>
        <a:xfrm>
          <a:off x="3072741" y="583870"/>
          <a:ext cx="21211679" cy="2065812"/>
          <a:chOff x="2598420" y="723901"/>
          <a:chExt cx="11231880" cy="746759"/>
        </a:xfrm>
      </xdr:grpSpPr>
      <xdr:sp macro="" textlink="">
        <xdr:nvSpPr>
          <xdr:cNvPr id="13" name="Rectangle: Rounded Corners 12">
            <a:extLst>
              <a:ext uri="{FF2B5EF4-FFF2-40B4-BE49-F238E27FC236}">
                <a16:creationId xmlns:a16="http://schemas.microsoft.com/office/drawing/2014/main" id="{87AE3BF2-7952-2BB2-D8E3-24777BAAD48C}"/>
              </a:ext>
            </a:extLst>
          </xdr:cNvPr>
          <xdr:cNvSpPr/>
        </xdr:nvSpPr>
        <xdr:spPr>
          <a:xfrm>
            <a:off x="2598420" y="723901"/>
            <a:ext cx="11231880" cy="746759"/>
          </a:xfrm>
          <a:prstGeom prst="roundRect">
            <a:avLst>
              <a:gd name="adj" fmla="val 18943"/>
            </a:avLst>
          </a:prstGeom>
          <a:gradFill flip="none" rotWithShape="1">
            <a:gsLst>
              <a:gs pos="0">
                <a:srgbClr val="0A3A66">
                  <a:lumMod val="97000"/>
                  <a:lumOff val="3000"/>
                </a:srgbClr>
              </a:gs>
              <a:gs pos="100000">
                <a:srgbClr val="0B4071"/>
              </a:gs>
              <a:gs pos="70000">
                <a:srgbClr val="050B29"/>
              </a:gs>
              <a:gs pos="11000">
                <a:srgbClr val="050B29"/>
              </a:gs>
            </a:gsLst>
            <a:lin ang="5400000" scaled="0"/>
            <a:tileRect/>
          </a:gradFill>
          <a:ln w="9525">
            <a:solidFill>
              <a:srgbClr val="272A64"/>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05DE7798-2A5F-08D1-1AA7-128A831AAB83}"/>
              </a:ext>
            </a:extLst>
          </xdr:cNvPr>
          <xdr:cNvSpPr/>
        </xdr:nvSpPr>
        <xdr:spPr>
          <a:xfrm>
            <a:off x="2598420" y="723901"/>
            <a:ext cx="11231880" cy="746759"/>
          </a:xfrm>
          <a:prstGeom prst="roundRect">
            <a:avLst>
              <a:gd name="adj" fmla="val 18943"/>
            </a:avLst>
          </a:prstGeom>
          <a:gradFill flip="none" rotWithShape="1">
            <a:gsLst>
              <a:gs pos="18000">
                <a:srgbClr val="050B29">
                  <a:alpha val="0"/>
                </a:srgbClr>
              </a:gs>
              <a:gs pos="100000">
                <a:srgbClr val="050B29">
                  <a:alpha val="68000"/>
                </a:srgbClr>
              </a:gs>
            </a:gsLst>
            <a:lin ang="0" scaled="0"/>
            <a:tileRect/>
          </a:gradFill>
          <a:ln w="9525">
            <a:solidFill>
              <a:srgbClr val="272A64"/>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4</xdr:col>
      <xdr:colOff>578923</xdr:colOff>
      <xdr:row>15</xdr:row>
      <xdr:rowOff>150915</xdr:rowOff>
    </xdr:from>
    <xdr:to>
      <xdr:col>15</xdr:col>
      <xdr:colOff>311728</xdr:colOff>
      <xdr:row>37</xdr:row>
      <xdr:rowOff>51955</xdr:rowOff>
    </xdr:to>
    <xdr:sp macro="" textlink="[1]Processing!B1">
      <xdr:nvSpPr>
        <xdr:cNvPr id="15" name="Rectangle: Rounded Corners 14">
          <a:extLst>
            <a:ext uri="{FF2B5EF4-FFF2-40B4-BE49-F238E27FC236}">
              <a16:creationId xmlns:a16="http://schemas.microsoft.com/office/drawing/2014/main" id="{105F19FF-0CEE-4E7A-893B-09E7DC4CC242}"/>
            </a:ext>
          </a:extLst>
        </xdr:cNvPr>
        <xdr:cNvSpPr/>
      </xdr:nvSpPr>
      <xdr:spPr>
        <a:xfrm>
          <a:off x="3003468" y="3008415"/>
          <a:ext cx="6400305" cy="4092040"/>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0" i="0" u="none" strike="noStrike">
              <a:solidFill>
                <a:schemeClr val="tx2">
                  <a:lumMod val="50000"/>
                  <a:lumOff val="50000"/>
                </a:schemeClr>
              </a:solidFill>
              <a:latin typeface="Aptos Narrow"/>
            </a:rPr>
            <a:t>Electricity Production &amp; Consumption</a:t>
          </a:r>
        </a:p>
        <a:p>
          <a:pPr algn="ctr"/>
          <a:endParaRPr lang="ru-RU">
            <a:solidFill>
              <a:schemeClr val="tx2">
                <a:lumMod val="50000"/>
                <a:lumOff val="50000"/>
              </a:schemeClr>
            </a:solidFill>
          </a:endParaRPr>
        </a:p>
      </xdr:txBody>
    </xdr:sp>
    <xdr:clientData/>
  </xdr:twoCellAnchor>
  <xdr:twoCellAnchor>
    <xdr:from>
      <xdr:col>16</xdr:col>
      <xdr:colOff>17318</xdr:colOff>
      <xdr:row>16</xdr:row>
      <xdr:rowOff>12368</xdr:rowOff>
    </xdr:from>
    <xdr:to>
      <xdr:col>26</xdr:col>
      <xdr:colOff>0</xdr:colOff>
      <xdr:row>36</xdr:row>
      <xdr:rowOff>190499</xdr:rowOff>
    </xdr:to>
    <xdr:sp macro="" textlink="[1]Processing!B1">
      <xdr:nvSpPr>
        <xdr:cNvPr id="16" name="Rectangle: Rounded Corners 15">
          <a:extLst>
            <a:ext uri="{FF2B5EF4-FFF2-40B4-BE49-F238E27FC236}">
              <a16:creationId xmlns:a16="http://schemas.microsoft.com/office/drawing/2014/main" id="{BC74B8AE-4C09-453D-9F6A-34D4186BF423}"/>
            </a:ext>
          </a:extLst>
        </xdr:cNvPr>
        <xdr:cNvSpPr/>
      </xdr:nvSpPr>
      <xdr:spPr>
        <a:xfrm>
          <a:off x="9715500" y="3060368"/>
          <a:ext cx="6044045" cy="3988131"/>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100" b="0" i="0" u="none" strike="noStrike">
              <a:solidFill>
                <a:schemeClr val="tx2">
                  <a:lumMod val="50000"/>
                  <a:lumOff val="50000"/>
                </a:schemeClr>
              </a:solidFill>
              <a:latin typeface="Aptos Narrow"/>
            </a:rPr>
            <a:t>Gas Production &amp; Consumption</a:t>
          </a:r>
          <a:endParaRPr lang="ru-RU">
            <a:solidFill>
              <a:schemeClr val="tx2">
                <a:lumMod val="50000"/>
                <a:lumOff val="50000"/>
              </a:schemeClr>
            </a:solidFill>
          </a:endParaRPr>
        </a:p>
      </xdr:txBody>
    </xdr:sp>
    <xdr:clientData/>
  </xdr:twoCellAnchor>
  <xdr:twoCellAnchor>
    <xdr:from>
      <xdr:col>26</xdr:col>
      <xdr:colOff>319150</xdr:colOff>
      <xdr:row>16</xdr:row>
      <xdr:rowOff>29686</xdr:rowOff>
    </xdr:from>
    <xdr:to>
      <xdr:col>40</xdr:col>
      <xdr:colOff>190500</xdr:colOff>
      <xdr:row>37</xdr:row>
      <xdr:rowOff>0</xdr:rowOff>
    </xdr:to>
    <xdr:sp macro="" textlink="[1]Processing!B1">
      <xdr:nvSpPr>
        <xdr:cNvPr id="17" name="Rectangle: Rounded Corners 16">
          <a:extLst>
            <a:ext uri="{FF2B5EF4-FFF2-40B4-BE49-F238E27FC236}">
              <a16:creationId xmlns:a16="http://schemas.microsoft.com/office/drawing/2014/main" id="{928223BB-9B55-4B02-B4E3-10DF779487E6}"/>
            </a:ext>
          </a:extLst>
        </xdr:cNvPr>
        <xdr:cNvSpPr/>
      </xdr:nvSpPr>
      <xdr:spPr>
        <a:xfrm>
          <a:off x="16078695" y="3077686"/>
          <a:ext cx="8357260" cy="3970814"/>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2">
                  <a:lumMod val="50000"/>
                  <a:lumOff val="50000"/>
                </a:schemeClr>
              </a:solidFill>
            </a:rPr>
            <a:t>Oil</a:t>
          </a:r>
          <a:r>
            <a:rPr lang="en-US" baseline="0">
              <a:solidFill>
                <a:schemeClr val="tx2">
                  <a:lumMod val="50000"/>
                  <a:lumOff val="50000"/>
                </a:schemeClr>
              </a:solidFill>
            </a:rPr>
            <a:t> Production &amp; Consumption</a:t>
          </a:r>
          <a:endParaRPr lang="ru-RU">
            <a:solidFill>
              <a:schemeClr val="tx2">
                <a:lumMod val="50000"/>
                <a:lumOff val="50000"/>
              </a:schemeClr>
            </a:solidFill>
          </a:endParaRPr>
        </a:p>
      </xdr:txBody>
    </xdr:sp>
    <xdr:clientData/>
  </xdr:twoCellAnchor>
  <xdr:twoCellAnchor>
    <xdr:from>
      <xdr:col>1</xdr:col>
      <xdr:colOff>51955</xdr:colOff>
      <xdr:row>38</xdr:row>
      <xdr:rowOff>116277</xdr:rowOff>
    </xdr:from>
    <xdr:to>
      <xdr:col>14</xdr:col>
      <xdr:colOff>155864</xdr:colOff>
      <xdr:row>84</xdr:row>
      <xdr:rowOff>114422</xdr:rowOff>
    </xdr:to>
    <xdr:sp macro="" textlink="[1]Processing!B1">
      <xdr:nvSpPr>
        <xdr:cNvPr id="18" name="Rectangle: Rounded Corners 17">
          <a:extLst>
            <a:ext uri="{FF2B5EF4-FFF2-40B4-BE49-F238E27FC236}">
              <a16:creationId xmlns:a16="http://schemas.microsoft.com/office/drawing/2014/main" id="{4B006A9B-7DA2-45B5-8611-D9A146CF72ED}"/>
            </a:ext>
          </a:extLst>
        </xdr:cNvPr>
        <xdr:cNvSpPr/>
      </xdr:nvSpPr>
      <xdr:spPr>
        <a:xfrm>
          <a:off x="671080" y="7355277"/>
          <a:ext cx="8152534" cy="8761145"/>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2">
                  <a:lumMod val="50000"/>
                  <a:lumOff val="50000"/>
                </a:schemeClr>
              </a:solidFill>
            </a:rPr>
            <a:t>Gas</a:t>
          </a:r>
          <a:r>
            <a:rPr lang="en-US" baseline="0">
              <a:solidFill>
                <a:schemeClr val="tx2">
                  <a:lumMod val="50000"/>
                  <a:lumOff val="50000"/>
                </a:schemeClr>
              </a:solidFill>
            </a:rPr>
            <a:t> Net &amp; Oil Net</a:t>
          </a:r>
          <a:endParaRPr lang="ru-RU">
            <a:solidFill>
              <a:schemeClr val="tx2">
                <a:lumMod val="50000"/>
                <a:lumOff val="50000"/>
              </a:schemeClr>
            </a:solidFill>
          </a:endParaRPr>
        </a:p>
      </xdr:txBody>
    </xdr:sp>
    <xdr:clientData/>
  </xdr:twoCellAnchor>
  <xdr:twoCellAnchor>
    <xdr:from>
      <xdr:col>14</xdr:col>
      <xdr:colOff>475014</xdr:colOff>
      <xdr:row>39</xdr:row>
      <xdr:rowOff>81642</xdr:rowOff>
    </xdr:from>
    <xdr:to>
      <xdr:col>27</xdr:col>
      <xdr:colOff>467590</xdr:colOff>
      <xdr:row>59</xdr:row>
      <xdr:rowOff>51955</xdr:rowOff>
    </xdr:to>
    <xdr:sp macro="" textlink="[1]Processing!B1">
      <xdr:nvSpPr>
        <xdr:cNvPr id="19" name="Rectangle: Rounded Corners 18">
          <a:extLst>
            <a:ext uri="{FF2B5EF4-FFF2-40B4-BE49-F238E27FC236}">
              <a16:creationId xmlns:a16="http://schemas.microsoft.com/office/drawing/2014/main" id="{DFA2E7C9-9CF2-4963-93F9-77FC664B117E}"/>
            </a:ext>
          </a:extLst>
        </xdr:cNvPr>
        <xdr:cNvSpPr/>
      </xdr:nvSpPr>
      <xdr:spPr>
        <a:xfrm>
          <a:off x="8960923" y="7511142"/>
          <a:ext cx="7872349" cy="3780313"/>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2">
                  <a:lumMod val="50000"/>
                  <a:lumOff val="50000"/>
                </a:schemeClr>
              </a:solidFill>
            </a:rPr>
            <a:t>Total</a:t>
          </a:r>
          <a:r>
            <a:rPr lang="en-US" baseline="0">
              <a:solidFill>
                <a:schemeClr val="tx2">
                  <a:lumMod val="50000"/>
                  <a:lumOff val="50000"/>
                </a:schemeClr>
              </a:solidFill>
            </a:rPr>
            <a:t> Of Renewable Energy</a:t>
          </a:r>
          <a:endParaRPr lang="ru-RU">
            <a:solidFill>
              <a:schemeClr val="tx2">
                <a:lumMod val="50000"/>
                <a:lumOff val="50000"/>
              </a:schemeClr>
            </a:solidFill>
          </a:endParaRPr>
        </a:p>
      </xdr:txBody>
    </xdr:sp>
    <xdr:clientData/>
  </xdr:twoCellAnchor>
  <xdr:twoCellAnchor>
    <xdr:from>
      <xdr:col>14</xdr:col>
      <xdr:colOff>492332</xdr:colOff>
      <xdr:row>60</xdr:row>
      <xdr:rowOff>133596</xdr:rowOff>
    </xdr:from>
    <xdr:to>
      <xdr:col>27</xdr:col>
      <xdr:colOff>484909</xdr:colOff>
      <xdr:row>85</xdr:row>
      <xdr:rowOff>23812</xdr:rowOff>
    </xdr:to>
    <xdr:sp macro="" textlink="[1]Processing!B1">
      <xdr:nvSpPr>
        <xdr:cNvPr id="20" name="Rectangle: Rounded Corners 19">
          <a:extLst>
            <a:ext uri="{FF2B5EF4-FFF2-40B4-BE49-F238E27FC236}">
              <a16:creationId xmlns:a16="http://schemas.microsoft.com/office/drawing/2014/main" id="{B00DD6A0-C35B-44B0-92FC-D58126D92F05}"/>
            </a:ext>
          </a:extLst>
        </xdr:cNvPr>
        <xdr:cNvSpPr/>
      </xdr:nvSpPr>
      <xdr:spPr>
        <a:xfrm>
          <a:off x="9160082" y="11563596"/>
          <a:ext cx="8041202" cy="4652716"/>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37000ECF-DDD0-465A-BD61-4D8392896FE8}" type="TxLink">
            <a:rPr lang="en-US" sz="1100" b="0" i="0" u="none" strike="noStrike">
              <a:solidFill>
                <a:schemeClr val="tx2">
                  <a:lumMod val="50000"/>
                  <a:lumOff val="50000"/>
                </a:schemeClr>
              </a:solidFill>
              <a:latin typeface="Aptos Narrow"/>
            </a:rPr>
            <a:pPr algn="ctr"/>
            <a:t>GAS kWh / ELECTRO kWh</a:t>
          </a:fld>
          <a:endParaRPr lang="ru-RU">
            <a:solidFill>
              <a:schemeClr val="tx2">
                <a:lumMod val="50000"/>
                <a:lumOff val="50000"/>
              </a:schemeClr>
            </a:solidFill>
          </a:endParaRPr>
        </a:p>
      </xdr:txBody>
    </xdr:sp>
    <xdr:clientData/>
  </xdr:twoCellAnchor>
  <xdr:twoCellAnchor>
    <xdr:from>
      <xdr:col>28</xdr:col>
      <xdr:colOff>128650</xdr:colOff>
      <xdr:row>39</xdr:row>
      <xdr:rowOff>64322</xdr:rowOff>
    </xdr:from>
    <xdr:to>
      <xdr:col>40</xdr:col>
      <xdr:colOff>207818</xdr:colOff>
      <xdr:row>85</xdr:row>
      <xdr:rowOff>23812</xdr:rowOff>
    </xdr:to>
    <xdr:sp macro="" textlink="[1]Processing!B1">
      <xdr:nvSpPr>
        <xdr:cNvPr id="21" name="Rectangle: Rounded Corners 20">
          <a:extLst>
            <a:ext uri="{FF2B5EF4-FFF2-40B4-BE49-F238E27FC236}">
              <a16:creationId xmlns:a16="http://schemas.microsoft.com/office/drawing/2014/main" id="{AEC2D3A0-7B15-436A-A97C-E3E5591B02AE}"/>
            </a:ext>
          </a:extLst>
        </xdr:cNvPr>
        <xdr:cNvSpPr/>
      </xdr:nvSpPr>
      <xdr:spPr>
        <a:xfrm>
          <a:off x="17464150" y="7493822"/>
          <a:ext cx="7508668" cy="8722490"/>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tx2">
                  <a:lumMod val="50000"/>
                  <a:lumOff val="50000"/>
                </a:schemeClr>
              </a:solidFill>
            </a:rPr>
            <a:t>First</a:t>
          </a:r>
          <a:r>
            <a:rPr lang="en-US" baseline="0">
              <a:solidFill>
                <a:schemeClr val="tx2">
                  <a:lumMod val="50000"/>
                  <a:lumOff val="50000"/>
                </a:schemeClr>
              </a:solidFill>
            </a:rPr>
            <a:t> tier Price</a:t>
          </a:r>
          <a:endParaRPr lang="ru-RU">
            <a:solidFill>
              <a:schemeClr val="tx2">
                <a:lumMod val="50000"/>
                <a:lumOff val="50000"/>
              </a:schemeClr>
            </a:solidFill>
          </a:endParaRPr>
        </a:p>
      </xdr:txBody>
    </xdr:sp>
    <xdr:clientData/>
  </xdr:twoCellAnchor>
  <xdr:twoCellAnchor editAs="oneCell">
    <xdr:from>
      <xdr:col>0</xdr:col>
      <xdr:colOff>369865</xdr:colOff>
      <xdr:row>16</xdr:row>
      <xdr:rowOff>44531</xdr:rowOff>
    </xdr:from>
    <xdr:to>
      <xdr:col>4</xdr:col>
      <xdr:colOff>363682</xdr:colOff>
      <xdr:row>38</xdr:row>
      <xdr:rowOff>69273</xdr:rowOff>
    </xdr:to>
    <mc:AlternateContent xmlns:mc="http://schemas.openxmlformats.org/markup-compatibility/2006">
      <mc:Choice xmlns:a14="http://schemas.microsoft.com/office/drawing/2010/main" Requires="a14">
        <xdr:graphicFrame macro="">
          <xdr:nvGraphicFramePr>
            <xdr:cNvPr id="22" name="year 1">
              <a:extLst>
                <a:ext uri="{FF2B5EF4-FFF2-40B4-BE49-F238E27FC236}">
                  <a16:creationId xmlns:a16="http://schemas.microsoft.com/office/drawing/2014/main" id="{2EED0321-87C0-4F8D-8ACE-76169EA5A8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69865" y="3092531"/>
              <a:ext cx="2470317" cy="4215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387186</xdr:colOff>
      <xdr:row>17</xdr:row>
      <xdr:rowOff>152153</xdr:rowOff>
    </xdr:from>
    <xdr:to>
      <xdr:col>15</xdr:col>
      <xdr:colOff>103910</xdr:colOff>
      <xdr:row>35</xdr:row>
      <xdr:rowOff>152153</xdr:rowOff>
    </xdr:to>
    <xdr:graphicFrame macro="">
      <xdr:nvGraphicFramePr>
        <xdr:cNvPr id="23" name="Chart 22">
          <a:extLst>
            <a:ext uri="{FF2B5EF4-FFF2-40B4-BE49-F238E27FC236}">
              <a16:creationId xmlns:a16="http://schemas.microsoft.com/office/drawing/2014/main" id="{A721E112-6DD5-4C71-8FFC-AC6A85479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258536</xdr:colOff>
      <xdr:row>18</xdr:row>
      <xdr:rowOff>54429</xdr:rowOff>
    </xdr:from>
    <xdr:to>
      <xdr:col>25</xdr:col>
      <xdr:colOff>489857</xdr:colOff>
      <xdr:row>35</xdr:row>
      <xdr:rowOff>74159</xdr:rowOff>
    </xdr:to>
    <xdr:graphicFrame macro="">
      <xdr:nvGraphicFramePr>
        <xdr:cNvPr id="24" name="Chart 23">
          <a:extLst>
            <a:ext uri="{FF2B5EF4-FFF2-40B4-BE49-F238E27FC236}">
              <a16:creationId xmlns:a16="http://schemas.microsoft.com/office/drawing/2014/main" id="{D88F52BB-AFE2-448F-9A0C-2BEE2E815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509647</xdr:colOff>
      <xdr:row>18</xdr:row>
      <xdr:rowOff>58138</xdr:rowOff>
    </xdr:from>
    <xdr:to>
      <xdr:col>39</xdr:col>
      <xdr:colOff>435428</xdr:colOff>
      <xdr:row>34</xdr:row>
      <xdr:rowOff>91475</xdr:rowOff>
    </xdr:to>
    <xdr:graphicFrame macro="">
      <xdr:nvGraphicFramePr>
        <xdr:cNvPr id="25" name="Chart 24">
          <a:extLst>
            <a:ext uri="{FF2B5EF4-FFF2-40B4-BE49-F238E27FC236}">
              <a16:creationId xmlns:a16="http://schemas.microsoft.com/office/drawing/2014/main" id="{51EFE182-9C13-4FD8-BFED-9D3464D1F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17320</xdr:colOff>
      <xdr:row>41</xdr:row>
      <xdr:rowOff>108857</xdr:rowOff>
    </xdr:from>
    <xdr:to>
      <xdr:col>27</xdr:col>
      <xdr:colOff>272142</xdr:colOff>
      <xdr:row>58</xdr:row>
      <xdr:rowOff>108856</xdr:rowOff>
    </xdr:to>
    <xdr:graphicFrame macro="">
      <xdr:nvGraphicFramePr>
        <xdr:cNvPr id="26" name="Chart 25">
          <a:extLst>
            <a:ext uri="{FF2B5EF4-FFF2-40B4-BE49-F238E27FC236}">
              <a16:creationId xmlns:a16="http://schemas.microsoft.com/office/drawing/2014/main" id="{A132D90C-DCE0-4314-BA17-1F2F75C9B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86592</xdr:colOff>
      <xdr:row>40</xdr:row>
      <xdr:rowOff>180601</xdr:rowOff>
    </xdr:from>
    <xdr:to>
      <xdr:col>13</xdr:col>
      <xdr:colOff>421823</xdr:colOff>
      <xdr:row>83</xdr:row>
      <xdr:rowOff>59959</xdr:rowOff>
    </xdr:to>
    <xdr:graphicFrame macro="">
      <xdr:nvGraphicFramePr>
        <xdr:cNvPr id="28" name="Chart 27">
          <a:extLst>
            <a:ext uri="{FF2B5EF4-FFF2-40B4-BE49-F238E27FC236}">
              <a16:creationId xmlns:a16="http://schemas.microsoft.com/office/drawing/2014/main" id="{E282A873-7A36-448F-BC1E-48C7F8408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366031</xdr:colOff>
      <xdr:row>41</xdr:row>
      <xdr:rowOff>148315</xdr:rowOff>
    </xdr:from>
    <xdr:to>
      <xdr:col>40</xdr:col>
      <xdr:colOff>34635</xdr:colOff>
      <xdr:row>83</xdr:row>
      <xdr:rowOff>22268</xdr:rowOff>
    </xdr:to>
    <xdr:graphicFrame macro="">
      <xdr:nvGraphicFramePr>
        <xdr:cNvPr id="29" name="Chart 28">
          <a:extLst>
            <a:ext uri="{FF2B5EF4-FFF2-40B4-BE49-F238E27FC236}">
              <a16:creationId xmlns:a16="http://schemas.microsoft.com/office/drawing/2014/main" id="{E21E449F-5985-4A81-B6E1-8A80059A6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96363</xdr:colOff>
      <xdr:row>85</xdr:row>
      <xdr:rowOff>164523</xdr:rowOff>
    </xdr:from>
    <xdr:to>
      <xdr:col>39</xdr:col>
      <xdr:colOff>506556</xdr:colOff>
      <xdr:row>121</xdr:row>
      <xdr:rowOff>164522</xdr:rowOff>
    </xdr:to>
    <xdr:sp macro="" textlink="[1]Processing!B1">
      <xdr:nvSpPr>
        <xdr:cNvPr id="30" name="Rectangle: Rounded Corners 29">
          <a:extLst>
            <a:ext uri="{FF2B5EF4-FFF2-40B4-BE49-F238E27FC236}">
              <a16:creationId xmlns:a16="http://schemas.microsoft.com/office/drawing/2014/main" id="{7CFB7DA5-5F99-4156-9311-FF978A3E473D}"/>
            </a:ext>
          </a:extLst>
        </xdr:cNvPr>
        <xdr:cNvSpPr/>
      </xdr:nvSpPr>
      <xdr:spPr>
        <a:xfrm>
          <a:off x="3191988" y="16357023"/>
          <a:ext cx="21460443" cy="6857999"/>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800" b="0" i="0" u="none" strike="noStrike">
              <a:solidFill>
                <a:schemeClr val="tx2">
                  <a:lumMod val="50000"/>
                  <a:lumOff val="50000"/>
                </a:schemeClr>
              </a:solidFill>
              <a:latin typeface="Aptos Narrow"/>
            </a:rPr>
            <a:t>Average</a:t>
          </a:r>
          <a:r>
            <a:rPr lang="en-US" sz="1800" b="0" i="0" u="none" strike="noStrike" baseline="0">
              <a:solidFill>
                <a:schemeClr val="tx2">
                  <a:lumMod val="50000"/>
                  <a:lumOff val="50000"/>
                </a:schemeClr>
              </a:solidFill>
              <a:latin typeface="Aptos Narrow"/>
            </a:rPr>
            <a:t> Energy Per Capita</a:t>
          </a:r>
          <a:endParaRPr lang="ru-RU" sz="1800">
            <a:solidFill>
              <a:schemeClr val="tx2">
                <a:lumMod val="50000"/>
                <a:lumOff val="50000"/>
              </a:schemeClr>
            </a:solidFill>
          </a:endParaRPr>
        </a:p>
      </xdr:txBody>
    </xdr:sp>
    <xdr:clientData/>
  </xdr:twoCellAnchor>
  <xdr:twoCellAnchor>
    <xdr:from>
      <xdr:col>6</xdr:col>
      <xdr:colOff>95250</xdr:colOff>
      <xdr:row>88</xdr:row>
      <xdr:rowOff>8659</xdr:rowOff>
    </xdr:from>
    <xdr:to>
      <xdr:col>39</xdr:col>
      <xdr:colOff>142875</xdr:colOff>
      <xdr:row>120</xdr:row>
      <xdr:rowOff>77932</xdr:rowOff>
    </xdr:to>
    <xdr:graphicFrame macro="">
      <xdr:nvGraphicFramePr>
        <xdr:cNvPr id="31" name="Chart 30">
          <a:extLst>
            <a:ext uri="{FF2B5EF4-FFF2-40B4-BE49-F238E27FC236}">
              <a16:creationId xmlns:a16="http://schemas.microsoft.com/office/drawing/2014/main" id="{20B350CE-EBD3-4FB7-A159-37603D1A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23812</xdr:colOff>
      <xdr:row>87</xdr:row>
      <xdr:rowOff>47625</xdr:rowOff>
    </xdr:from>
    <xdr:to>
      <xdr:col>4</xdr:col>
      <xdr:colOff>523875</xdr:colOff>
      <xdr:row>121</xdr:row>
      <xdr:rowOff>23813</xdr:rowOff>
    </xdr:to>
    <mc:AlternateContent xmlns:mc="http://schemas.openxmlformats.org/markup-compatibility/2006">
      <mc:Choice xmlns:a14="http://schemas.microsoft.com/office/drawing/2010/main" Requires="a14">
        <xdr:graphicFrame macro="">
          <xdr:nvGraphicFramePr>
            <xdr:cNvPr id="32" name="country 1">
              <a:extLst>
                <a:ext uri="{FF2B5EF4-FFF2-40B4-BE49-F238E27FC236}">
                  <a16:creationId xmlns:a16="http://schemas.microsoft.com/office/drawing/2014/main" id="{715E1EA3-BCE0-4AF1-A6DA-182DB306521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42937" y="16621125"/>
              <a:ext cx="2357438" cy="6453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467591</xdr:colOff>
      <xdr:row>4</xdr:row>
      <xdr:rowOff>34636</xdr:rowOff>
    </xdr:from>
    <xdr:to>
      <xdr:col>13</xdr:col>
      <xdr:colOff>0</xdr:colOff>
      <xdr:row>12</xdr:row>
      <xdr:rowOff>155864</xdr:rowOff>
    </xdr:to>
    <xdr:sp macro="" textlink="">
      <xdr:nvSpPr>
        <xdr:cNvPr id="33" name="TextBox 32">
          <a:extLst>
            <a:ext uri="{FF2B5EF4-FFF2-40B4-BE49-F238E27FC236}">
              <a16:creationId xmlns:a16="http://schemas.microsoft.com/office/drawing/2014/main" id="{09C735E8-5CBF-2013-81DC-2F4F9994BA8D}"/>
            </a:ext>
          </a:extLst>
        </xdr:cNvPr>
        <xdr:cNvSpPr txBox="1"/>
      </xdr:nvSpPr>
      <xdr:spPr>
        <a:xfrm>
          <a:off x="3498273" y="796636"/>
          <a:ext cx="4381500" cy="164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2">
                  <a:lumMod val="10000"/>
                  <a:lumOff val="90000"/>
                </a:schemeClr>
              </a:solidFill>
            </a:rPr>
            <a:t>Total Electricity Generation (TWh)</a:t>
          </a:r>
          <a:r>
            <a:rPr lang="ar-SA" sz="3200">
              <a:solidFill>
                <a:schemeClr val="tx2">
                  <a:lumMod val="10000"/>
                  <a:lumOff val="90000"/>
                </a:schemeClr>
              </a:solidFill>
            </a:rPr>
            <a:t>:</a:t>
          </a:r>
          <a:br>
            <a:rPr lang="ar-SA" sz="3200">
              <a:solidFill>
                <a:schemeClr val="tx2">
                  <a:lumMod val="10000"/>
                  <a:lumOff val="90000"/>
                </a:schemeClr>
              </a:solidFill>
            </a:rPr>
          </a:br>
          <a:r>
            <a:rPr lang="en-US" sz="3200" b="0" i="0" u="none" strike="noStrike">
              <a:solidFill>
                <a:schemeClr val="tx2">
                  <a:lumMod val="10000"/>
                  <a:lumOff val="90000"/>
                </a:schemeClr>
              </a:solidFill>
              <a:effectLst/>
              <a:latin typeface="+mn-lt"/>
              <a:ea typeface="+mn-ea"/>
              <a:cs typeface="+mn-cs"/>
            </a:rPr>
            <a:t>221.92</a:t>
          </a:r>
          <a:r>
            <a:rPr lang="en-US" sz="3200">
              <a:solidFill>
                <a:schemeClr val="tx2">
                  <a:lumMod val="10000"/>
                  <a:lumOff val="90000"/>
                </a:schemeClr>
              </a:solidFill>
              <a:effectLst/>
            </a:rPr>
            <a:t> </a:t>
          </a:r>
          <a:endParaRPr lang="en-US" sz="3200">
            <a:solidFill>
              <a:schemeClr val="tx2">
                <a:lumMod val="10000"/>
                <a:lumOff val="90000"/>
              </a:schemeClr>
            </a:solidFill>
          </a:endParaRPr>
        </a:p>
      </xdr:txBody>
    </xdr:sp>
    <xdr:clientData/>
  </xdr:twoCellAnchor>
  <xdr:twoCellAnchor>
    <xdr:from>
      <xdr:col>14</xdr:col>
      <xdr:colOff>86591</xdr:colOff>
      <xdr:row>4</xdr:row>
      <xdr:rowOff>121227</xdr:rowOff>
    </xdr:from>
    <xdr:to>
      <xdr:col>22</xdr:col>
      <xdr:colOff>588818</xdr:colOff>
      <xdr:row>12</xdr:row>
      <xdr:rowOff>34636</xdr:rowOff>
    </xdr:to>
    <xdr:sp macro="" textlink="">
      <xdr:nvSpPr>
        <xdr:cNvPr id="34" name="TextBox 33">
          <a:extLst>
            <a:ext uri="{FF2B5EF4-FFF2-40B4-BE49-F238E27FC236}">
              <a16:creationId xmlns:a16="http://schemas.microsoft.com/office/drawing/2014/main" id="{8A0E16B2-32B0-0EE0-59E9-2766230E128F}"/>
            </a:ext>
          </a:extLst>
        </xdr:cNvPr>
        <xdr:cNvSpPr txBox="1"/>
      </xdr:nvSpPr>
      <xdr:spPr>
        <a:xfrm>
          <a:off x="8572500" y="883227"/>
          <a:ext cx="5351318" cy="1437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2">
                  <a:lumMod val="10000"/>
                  <a:lumOff val="90000"/>
                </a:schemeClr>
              </a:solidFill>
            </a:rPr>
            <a:t>Total Electricity Demand (TWh)</a:t>
          </a:r>
          <a:r>
            <a:rPr lang="ar-SA" sz="3200">
              <a:solidFill>
                <a:schemeClr val="tx2">
                  <a:lumMod val="10000"/>
                  <a:lumOff val="90000"/>
                </a:schemeClr>
              </a:solidFill>
            </a:rPr>
            <a:t>:</a:t>
          </a:r>
          <a:br>
            <a:rPr lang="ar-SA" sz="3200">
              <a:solidFill>
                <a:schemeClr val="tx2">
                  <a:lumMod val="10000"/>
                  <a:lumOff val="90000"/>
                </a:schemeClr>
              </a:solidFill>
            </a:rPr>
          </a:br>
          <a:r>
            <a:rPr lang="en-US" sz="3200" b="0" i="0" u="none" strike="noStrike">
              <a:solidFill>
                <a:schemeClr val="tx2">
                  <a:lumMod val="10000"/>
                  <a:lumOff val="90000"/>
                </a:schemeClr>
              </a:solidFill>
              <a:effectLst/>
              <a:latin typeface="+mn-lt"/>
              <a:ea typeface="+mn-ea"/>
              <a:cs typeface="+mn-cs"/>
            </a:rPr>
            <a:t>220.53</a:t>
          </a:r>
          <a:r>
            <a:rPr lang="en-US" sz="3200">
              <a:solidFill>
                <a:schemeClr val="tx2">
                  <a:lumMod val="10000"/>
                  <a:lumOff val="90000"/>
                </a:schemeClr>
              </a:solidFill>
              <a:effectLst/>
            </a:rPr>
            <a:t> </a:t>
          </a:r>
          <a:endParaRPr lang="en-US" sz="3200">
            <a:solidFill>
              <a:schemeClr val="tx2">
                <a:lumMod val="10000"/>
                <a:lumOff val="90000"/>
              </a:schemeClr>
            </a:solidFill>
          </a:endParaRPr>
        </a:p>
      </xdr:txBody>
    </xdr:sp>
    <xdr:clientData/>
  </xdr:twoCellAnchor>
  <xdr:twoCellAnchor>
    <xdr:from>
      <xdr:col>24</xdr:col>
      <xdr:colOff>17318</xdr:colOff>
      <xdr:row>4</xdr:row>
      <xdr:rowOff>34636</xdr:rowOff>
    </xdr:from>
    <xdr:to>
      <xdr:col>31</xdr:col>
      <xdr:colOff>519546</xdr:colOff>
      <xdr:row>12</xdr:row>
      <xdr:rowOff>173182</xdr:rowOff>
    </xdr:to>
    <xdr:sp macro="" textlink="">
      <xdr:nvSpPr>
        <xdr:cNvPr id="35" name="TextBox 34">
          <a:extLst>
            <a:ext uri="{FF2B5EF4-FFF2-40B4-BE49-F238E27FC236}">
              <a16:creationId xmlns:a16="http://schemas.microsoft.com/office/drawing/2014/main" id="{88A70527-9635-EA74-4339-E9903EB48DCA}"/>
            </a:ext>
          </a:extLst>
        </xdr:cNvPr>
        <xdr:cNvSpPr txBox="1"/>
      </xdr:nvSpPr>
      <xdr:spPr>
        <a:xfrm>
          <a:off x="14564591" y="796636"/>
          <a:ext cx="4745182" cy="166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2">
                  <a:lumMod val="10000"/>
                  <a:lumOff val="90000"/>
                </a:schemeClr>
              </a:solidFill>
            </a:rPr>
            <a:t>Renewable Energy Share (%)</a:t>
          </a:r>
          <a:r>
            <a:rPr lang="ar-SA" sz="3200">
              <a:solidFill>
                <a:schemeClr val="tx2">
                  <a:lumMod val="10000"/>
                  <a:lumOff val="90000"/>
                </a:schemeClr>
              </a:solidFill>
            </a:rPr>
            <a:t>:</a:t>
          </a:r>
          <a:br>
            <a:rPr lang="ar-SA" sz="3200">
              <a:solidFill>
                <a:schemeClr val="tx2">
                  <a:lumMod val="10000"/>
                  <a:lumOff val="90000"/>
                </a:schemeClr>
              </a:solidFill>
            </a:rPr>
          </a:br>
          <a:r>
            <a:rPr lang="en-US" sz="3200" b="0" i="0" u="none" strike="noStrike">
              <a:solidFill>
                <a:schemeClr val="tx2">
                  <a:lumMod val="10000"/>
                  <a:lumOff val="90000"/>
                </a:schemeClr>
              </a:solidFill>
              <a:effectLst/>
              <a:latin typeface="+mn-lt"/>
              <a:ea typeface="+mn-ea"/>
              <a:cs typeface="+mn-cs"/>
            </a:rPr>
            <a:t>11.70%</a:t>
          </a:r>
          <a:r>
            <a:rPr lang="en-US" sz="3200">
              <a:solidFill>
                <a:schemeClr val="tx2">
                  <a:lumMod val="10000"/>
                  <a:lumOff val="90000"/>
                </a:schemeClr>
              </a:solidFill>
              <a:effectLst/>
            </a:rPr>
            <a:t> </a:t>
          </a:r>
          <a:endParaRPr lang="en-US" sz="3200">
            <a:solidFill>
              <a:schemeClr val="tx2">
                <a:lumMod val="10000"/>
                <a:lumOff val="90000"/>
              </a:schemeClr>
            </a:solidFill>
          </a:endParaRPr>
        </a:p>
      </xdr:txBody>
    </xdr:sp>
    <xdr:clientData/>
  </xdr:twoCellAnchor>
  <xdr:twoCellAnchor>
    <xdr:from>
      <xdr:col>31</xdr:col>
      <xdr:colOff>588818</xdr:colOff>
      <xdr:row>4</xdr:row>
      <xdr:rowOff>69273</xdr:rowOff>
    </xdr:from>
    <xdr:to>
      <xdr:col>38</xdr:col>
      <xdr:colOff>34636</xdr:colOff>
      <xdr:row>13</xdr:row>
      <xdr:rowOff>17319</xdr:rowOff>
    </xdr:to>
    <xdr:sp macro="" textlink="">
      <xdr:nvSpPr>
        <xdr:cNvPr id="36" name="TextBox 35">
          <a:extLst>
            <a:ext uri="{FF2B5EF4-FFF2-40B4-BE49-F238E27FC236}">
              <a16:creationId xmlns:a16="http://schemas.microsoft.com/office/drawing/2014/main" id="{022AD1FE-0CA0-8762-EB6C-7D93DE313ADA}"/>
            </a:ext>
          </a:extLst>
        </xdr:cNvPr>
        <xdr:cNvSpPr txBox="1"/>
      </xdr:nvSpPr>
      <xdr:spPr>
        <a:xfrm>
          <a:off x="19379045" y="831273"/>
          <a:ext cx="3688773" cy="166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tx2">
                  <a:lumMod val="10000"/>
                  <a:lumOff val="90000"/>
                </a:schemeClr>
              </a:solidFill>
            </a:rPr>
            <a:t>Net Electricity Imports</a:t>
          </a:r>
          <a:r>
            <a:rPr lang="ar-SA" sz="3200">
              <a:solidFill>
                <a:schemeClr val="tx2">
                  <a:lumMod val="10000"/>
                  <a:lumOff val="90000"/>
                </a:schemeClr>
              </a:solidFill>
            </a:rPr>
            <a:t>:</a:t>
          </a:r>
          <a:br>
            <a:rPr lang="ar-SA" sz="3200">
              <a:solidFill>
                <a:schemeClr val="tx2">
                  <a:lumMod val="10000"/>
                  <a:lumOff val="90000"/>
                </a:schemeClr>
              </a:solidFill>
            </a:rPr>
          </a:br>
          <a:r>
            <a:rPr lang="en-US" sz="3200" b="0" i="0" u="none" strike="noStrike">
              <a:solidFill>
                <a:schemeClr val="tx2">
                  <a:lumMod val="10000"/>
                  <a:lumOff val="90000"/>
                </a:schemeClr>
              </a:solidFill>
              <a:effectLst/>
              <a:latin typeface="+mn-lt"/>
              <a:ea typeface="+mn-ea"/>
              <a:cs typeface="+mn-cs"/>
            </a:rPr>
            <a:t>-1.39</a:t>
          </a:r>
          <a:r>
            <a:rPr lang="en-US" sz="3200">
              <a:solidFill>
                <a:schemeClr val="tx2">
                  <a:lumMod val="10000"/>
                  <a:lumOff val="90000"/>
                </a:schemeClr>
              </a:solidFill>
              <a:effectLst/>
            </a:rPr>
            <a:t> </a:t>
          </a:r>
          <a:endParaRPr lang="en-US" sz="3200">
            <a:solidFill>
              <a:schemeClr val="tx2">
                <a:lumMod val="10000"/>
                <a:lumOff val="90000"/>
              </a:schemeClr>
            </a:solidFill>
          </a:endParaRPr>
        </a:p>
      </xdr:txBody>
    </xdr:sp>
    <xdr:clientData/>
  </xdr:twoCellAnchor>
  <xdr:twoCellAnchor>
    <xdr:from>
      <xdr:col>14</xdr:col>
      <xdr:colOff>432954</xdr:colOff>
      <xdr:row>62</xdr:row>
      <xdr:rowOff>69272</xdr:rowOff>
    </xdr:from>
    <xdr:to>
      <xdr:col>27</xdr:col>
      <xdr:colOff>311726</xdr:colOff>
      <xdr:row>84</xdr:row>
      <xdr:rowOff>166687</xdr:rowOff>
    </xdr:to>
    <xdr:graphicFrame macro="">
      <xdr:nvGraphicFramePr>
        <xdr:cNvPr id="38" name="Chart 37">
          <a:extLst>
            <a:ext uri="{FF2B5EF4-FFF2-40B4-BE49-F238E27FC236}">
              <a16:creationId xmlns:a16="http://schemas.microsoft.com/office/drawing/2014/main" id="{2E12186B-98DD-430A-8FAC-94A3938C9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USER/AppData/Local/Temp/0391adfd-f8ec-46f1-8198-772791a5a89d_Chart167.zip.89d/Chart167.xlsx" TargetMode="External"/><Relationship Id="rId2" Type="http://schemas.openxmlformats.org/officeDocument/2006/relationships/externalLinkPath" Target="file:///C:\Users\USER\AppData\Local\Temp\0391adfd-f8ec-46f1-8198-772791a5a89d_Chart167.zip.89d\Chart167.xlsx" TargetMode="External"/><Relationship Id="rId1" Type="http://schemas.openxmlformats.org/officeDocument/2006/relationships/externalLinkPath" Target="/Users/USER/AppData/Local/Temp/0391adfd-f8ec-46f1-8198-772791a5a89d_Chart167.zip.89d/Chart16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SHBOARD"/>
      <sheetName val="Processing"/>
      <sheetName val="Control"/>
      <sheetName val="DASHBOARD Light"/>
      <sheetName val="Equipment"/>
      <sheetName val="Equipment Light"/>
      <sheetName val="Emissions"/>
      <sheetName val="Emissions Light"/>
      <sheetName val="Budget"/>
      <sheetName val="Budget Light"/>
      <sheetName val="Costs"/>
      <sheetName val="Costs Light"/>
      <sheetName val="Boost"/>
      <sheetName val="Boost Light"/>
      <sheetName val="Data"/>
      <sheetName val="Resour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ssiony" refreshedDate="46226.150802546297" createdVersion="8" refreshedVersion="8" minRefreshableVersion="3" recordCount="24" xr:uid="{3BF5C6F7-5F77-46F2-9BE3-042839B62EDB}">
  <cacheSource type="worksheet">
    <worksheetSource name="Table3"/>
  </cacheSource>
  <cacheFields count="12">
    <cacheField name="year" numFmtId="0">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cacheField>
    <cacheField name="Electricity Generation(TWH)" numFmtId="0">
      <sharedItems containsSemiMixedTypes="0" containsString="0" containsNumber="1" minValue="73.319999999999993" maxValue="221.92" count="24">
        <n v="73.319999999999993"/>
        <n v="80.709999999999994"/>
        <n v="86.23"/>
        <n v="92.19"/>
        <n v="98.25"/>
        <n v="104.94"/>
        <n v="111.66"/>
        <n v="119.86"/>
        <n v="128.80000000000001"/>
        <n v="134.27000000000001"/>
        <n v="144.43"/>
        <n v="149.56"/>
        <n v="162.84"/>
        <n v="165.08"/>
        <n v="171.24"/>
        <n v="181.83"/>
        <n v="188.19"/>
        <n v="193.21"/>
        <n v="199.39"/>
        <n v="200.57"/>
        <n v="198.6"/>
        <n v="209.66"/>
        <n v="216.72"/>
        <n v="221.92"/>
      </sharedItems>
    </cacheField>
    <cacheField name="Electricity Demand (TWH0" numFmtId="0">
      <sharedItems containsSemiMixedTypes="0" containsString="0" containsNumber="1" minValue="73.17" maxValue="220.53" count="24">
        <n v="73.17"/>
        <n v="80.5"/>
        <n v="85.45"/>
        <n v="91.27"/>
        <n v="97.55"/>
        <n v="104.16"/>
        <n v="111.31"/>
        <n v="119.3"/>
        <n v="127.9"/>
        <n v="133.33000000000001"/>
        <n v="142.99"/>
        <n v="147.97999999999999"/>
        <n v="162.44"/>
        <n v="164.68"/>
        <n v="170.56"/>
        <n v="181.14"/>
        <n v="187.92"/>
        <n v="192.87"/>
        <n v="198.82"/>
        <n v="199.78"/>
        <n v="197.18"/>
        <n v="208.19"/>
        <n v="215.15"/>
        <n v="220.53"/>
      </sharedItems>
    </cacheField>
    <cacheField name="Gas Production (TWH eq)" numFmtId="0">
      <sharedItems containsSemiMixedTypes="0" containsString="0" containsNumber="1" minValue="202.125" maxValue="677.99400000000003" count="24">
        <n v="202.125"/>
        <n v="242.55"/>
        <n v="262.76299999999998"/>
        <n v="289.71300000000002"/>
        <n v="317.625"/>
        <n v="409.06200000000001"/>
        <n v="526.48699999999997"/>
        <n v="536.01599999999996"/>
        <n v="567.58600000000001"/>
        <n v="603.39099999999996"/>
        <n v="590.20500000000004"/>
        <n v="591.43299999999999"/>
        <n v="585.98199999999997"/>
        <n v="539.64800000000002"/>
        <n v="469.61099999999999"/>
        <n v="425.90600000000001"/>
        <n v="402.517"/>
        <n v="488.113"/>
        <n v="585.59"/>
        <n v="649.38800000000003"/>
        <n v="584.65200000000004"/>
        <n v="677.99400000000003"/>
        <n v="644.88199999999995"/>
        <n v="571.00400000000002"/>
      </sharedItems>
    </cacheField>
    <cacheField name="Gas Consumption (TWH eq)" numFmtId="0">
      <sharedItems containsSemiMixedTypes="0" containsString="0" containsNumber="1" minValue="192.5" maxValue="621.24800000000005"/>
    </cacheField>
    <cacheField name="Oil Production (TWH eq)" numFmtId="0">
      <sharedItems containsSemiMixedTypes="0" containsString="0" containsNumber="1" minValue="344.26400000000001" maxValue="452.60500000000002" count="24">
        <n v="452.60500000000002"/>
        <n v="437.28899999999999"/>
        <n v="433.108"/>
        <n v="431.15300000000002"/>
        <n v="405.197"/>
        <n v="385.73599999999999"/>
        <n v="385.67099999999999"/>
        <n v="393.21"/>
        <n v="403.03"/>
        <n v="410.07400000000001"/>
        <n v="407.399"/>
        <n v="402.38600000000002"/>
        <n v="403.86399999999998"/>
        <n v="399.61900000000003"/>
        <n v="408.68099999999998"/>
        <n v="412.06299999999999"/>
        <n v="393.50099999999998"/>
        <n v="374.23"/>
        <n v="381.976"/>
        <n v="369.97399999999999"/>
        <n v="361.30200000000002"/>
        <n v="344.26400000000001"/>
        <n v="349.39299999999997"/>
        <n v="345.46"/>
      </sharedItems>
    </cacheField>
    <cacheField name="Oil Consumption (TWH eq)" numFmtId="0">
      <sharedItems containsSemiMixedTypes="0" containsString="0" containsNumber="1" minValue="304.16800000000001" maxValue="480.178" count="24">
        <n v="323.75900000000001"/>
        <n v="305.73399999999998"/>
        <n v="304.16800000000001"/>
        <n v="311.87799999999999"/>
        <n v="328.39800000000002"/>
        <n v="347.70400000000001"/>
        <n v="337.33100000000002"/>
        <n v="364.28699999999998"/>
        <n v="385.61700000000002"/>
        <n v="403.661"/>
        <n v="415.59399999999999"/>
        <n v="418.22199999999998"/>
        <n v="428.22500000000002"/>
        <n v="433.327"/>
        <n v="455.28800000000001"/>
        <n v="464.53699999999998"/>
        <n v="480.178"/>
        <n v="456.21600000000001"/>
        <n v="406.44499999999999"/>
        <n v="383.61399999999998"/>
        <n v="332.68"/>
        <n v="359.56700000000001"/>
        <n v="425.22899999999998"/>
        <n v="414.18"/>
      </sharedItems>
    </cacheField>
    <cacheField name="Renewable Elec (TWH)" numFmtId="0">
      <sharedItems containsSemiMixedTypes="0" containsString="0" containsNumber="1" minValue="13.15" maxValue="25.97"/>
    </cacheField>
    <cacheField name="Fossil Elec (TWh)" numFmtId="0">
      <sharedItems containsSemiMixedTypes="0" containsString="0" containsNumber="1" minValue="59.06" maxValue="195.95"/>
    </cacheField>
    <cacheField name="Renewables Share (%)" numFmtId="10">
      <sharedItems containsSemiMixedTypes="0" containsString="0" containsNumber="1" minValue="8.0223590911443501E-2" maxValue="0.19448990725586468"/>
    </cacheField>
    <cacheField name="Gas Net Balance (TWh eq)" numFmtId="0">
      <sharedItems containsSemiMixedTypes="0" containsString="0" containsNumber="1" minValue="-91.024000000000001" maxValue="193.94399999999996"/>
    </cacheField>
    <cacheField name="GDP (current US$, WB)" numFmtId="3">
      <sharedItems containsSemiMixedTypes="0" containsString="0" containsNumber="1" containsInteger="1" minValue="78782467532" maxValue="476748000000"/>
    </cacheField>
  </cacheFields>
  <extLst>
    <ext xmlns:x14="http://schemas.microsoft.com/office/spreadsheetml/2009/9/main" uri="{725AE2AE-9491-48be-B2B4-4EB974FC3084}">
      <x14:pivotCacheDefinition pivotCacheId="11867058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ssiony" refreshedDate="46227.152239120369" createdVersion="8" refreshedVersion="8" minRefreshableVersion="3" recordCount="24" xr:uid="{5CE5C89A-1168-4110-848A-0A48FB75D0BE}">
  <cacheSource type="worksheet">
    <worksheetSource name="Table5"/>
  </cacheSource>
  <cacheFields count="5">
    <cacheField name="Year" numFmtId="0">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cacheField>
    <cacheField name="Net Elec Imports (TWh)" numFmtId="0">
      <sharedItems containsSemiMixedTypes="0" containsString="0" containsNumber="1" minValue="-1.58" maxValue="-0.15"/>
    </cacheField>
    <cacheField name="Net Elec Imports Share of Demand (%)" numFmtId="10">
      <sharedItems containsSemiMixedTypes="0" containsString="0" containsNumber="1" minValue="-1.068E-2" maxValue="-1.4399999999999999E-3"/>
    </cacheField>
    <cacheField name="Gas Net Balance (Prod-Cons, TWh eq)" numFmtId="0">
      <sharedItems containsSemiMixedTypes="0" containsString="0" containsNumber="1" minValue="-91.024000000000001" maxValue="193.94399999999996"/>
    </cacheField>
    <cacheField name="Oil Net Balance (Prod-Cons, TWh eq)" numFmtId="2">
      <sharedItems containsSemiMixedTypes="0" containsString="0" containsNumber="1" minValue="-86.677000000000021" maxValue="131.5550000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ssiony" refreshedDate="46227.157432638887" createdVersion="8" refreshedVersion="8" minRefreshableVersion="3" recordCount="24" xr:uid="{53DD0E41-94BB-433E-9515-181DFC566FCF}">
  <cacheSource type="worksheet">
    <worksheetSource name="Table8"/>
  </cacheSource>
  <cacheFields count="4">
    <cacheField name="Year" numFmtId="0">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cacheField>
    <cacheField name="First Tier Price (EGP/kWh, 0-50 kWh)" numFmtId="0">
      <sharedItems containsSemiMixedTypes="0" containsString="0" containsNumber="1" minValue="0.05" maxValue="0.68"/>
    </cacheField>
    <cacheField name="Status" numFmtId="49">
      <sharedItems/>
    </cacheField>
    <cacheField name="Sourc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ssiony" refreshedDate="46227.165998495373" createdVersion="8" refreshedVersion="8" minRefreshableVersion="3" recordCount="384" xr:uid="{86C0A85C-1993-4B66-99A1-E18171ECA085}">
  <cacheSource type="worksheet">
    <worksheetSource name="Table1"/>
  </cacheSource>
  <cacheFields count="26">
    <cacheField name="country" numFmtId="0">
      <sharedItems count="16">
        <s v="Algeria"/>
        <s v="Egypt"/>
        <s v="Ethiopia"/>
        <s v="Iran"/>
        <s v="Iraq"/>
        <s v="Israel"/>
        <s v="Jordan"/>
        <s v="Libya"/>
        <s v="Morocco"/>
        <s v="Nigeria"/>
        <s v="Saudi Arabia"/>
        <s v="South Africa"/>
        <s v="Sudan"/>
        <s v="Tunisia"/>
        <s v="Turkey"/>
        <s v="United Arab Emirates"/>
      </sharedItems>
    </cacheField>
    <cacheField name="year" numFmtId="0">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cacheField>
    <cacheField name="iso_code" numFmtId="0">
      <sharedItems/>
    </cacheField>
    <cacheField name="region" numFmtId="0">
      <sharedItems count="3">
        <s v="Middle East &amp; North Africa"/>
        <s v="Sub-Saharan Africa"/>
        <s v="Europe &amp; Central Asia"/>
      </sharedItems>
    </cacheField>
    <cacheField name="income_group" numFmtId="0">
      <sharedItems/>
    </cacheField>
    <cacheField name="population" numFmtId="0">
      <sharedItems containsSemiMixedTypes="0" containsString="0" containsNumber="1" containsInteger="1" minValue="3493583" maxValue="227882949"/>
    </cacheField>
    <cacheField name="gdp" numFmtId="0">
      <sharedItems containsSemiMixedTypes="0" containsString="0" containsNumber="1" containsInteger="1" minValue="35825242090" maxValue="3056260000000"/>
    </cacheField>
    <cacheField name="electricity_generation" numFmtId="0">
      <sharedItems containsSemiMixedTypes="0" containsString="0" containsNumber="1" minValue="1.69" maxValue="429.25"/>
    </cacheField>
    <cacheField name="electricity_demand" numFmtId="0">
      <sharedItems containsSemiMixedTypes="0" containsString="0" containsNumber="1" minValue="1.69" maxValue="429.21"/>
    </cacheField>
    <cacheField name="electricity_demand_per_capita" numFmtId="0">
      <sharedItems containsSemiMixedTypes="0" containsString="0" containsNumber="1" minValue="25.07" maxValue="15732.812"/>
    </cacheField>
    <cacheField name="net_elec_imports" numFmtId="0">
      <sharedItems containsSemiMixedTypes="0" containsString="0" containsNumber="1" minValue="-7.88" maxValue="12.33"/>
    </cacheField>
    <cacheField name="net_elec_imports_share_demand" numFmtId="0">
      <sharedItems containsSemiMixedTypes="0" containsString="0" containsNumber="1" minValue="-12.233000000000001" maxValue="18.099"/>
    </cacheField>
    <cacheField name="gas_production" numFmtId="0">
      <sharedItems containsSemiMixedTypes="0" containsString="0" containsNumber="1" minValue="0" maxValue="2597.375"/>
    </cacheField>
    <cacheField name="gas_consumption" numFmtId="0">
      <sharedItems containsSemiMixedTypes="0" containsString="0" containsNumber="1" minValue="0" maxValue="2465.8330000000001"/>
    </cacheField>
    <cacheField name="gas_prod_per_capita" numFmtId="0">
      <sharedItems containsSemiMixedTypes="0" containsString="0" containsNumber="1" minValue="0" maxValue="107112.102"/>
    </cacheField>
    <cacheField name="gas_share_elec" numFmtId="0">
      <sharedItems containsSemiMixedTypes="0" containsString="0" containsNumber="1" minValue="0" maxValue="100"/>
    </cacheField>
    <cacheField name="gas_share_energy" numFmtId="0">
      <sharedItems containsSemiMixedTypes="0" containsString="0" containsNumber="1" minValue="0" maxValue="69.287999999999997"/>
    </cacheField>
    <cacheField name="oil_production" numFmtId="0">
      <sharedItems containsSemiMixedTypes="0" containsString="0" containsNumber="1" minValue="0" maxValue="6823.4629999999997"/>
    </cacheField>
    <cacheField name="oil_consumption" numFmtId="0">
      <sharedItems containsSemiMixedTypes="0" containsString="0" containsNumber="1" minValue="29.591000000000001" maxValue="2125.6959999999999"/>
    </cacheField>
    <cacheField name="renewables_electricity" numFmtId="0">
      <sharedItems containsSemiMixedTypes="0" containsString="0" containsNumber="1" minValue="0" maxValue="134.35"/>
    </cacheField>
    <cacheField name="renewables_share_elec" numFmtId="0">
      <sharedItems containsSemiMixedTypes="0" containsString="0" containsNumber="1" minValue="0" maxValue="100"/>
    </cacheField>
    <cacheField name="fossil_electricity" numFmtId="0">
      <sharedItems containsSemiMixedTypes="0" containsString="0" containsNumber="1" minValue="0" maxValue="424.53"/>
    </cacheField>
    <cacheField name="fossil_share_elec" numFmtId="0">
      <sharedItems containsSemiMixedTypes="0" containsString="0" containsNumber="1" minValue="0" maxValue="100"/>
    </cacheField>
    <cacheField name="energy_per_capita" numFmtId="0">
      <sharedItems containsSemiMixedTypes="0" containsString="0" containsNumber="1" minValue="237.98" maxValue="153361.734"/>
    </cacheField>
    <cacheField name="greenhouse_gas_emissions" numFmtId="0">
      <sharedItems containsSemiMixedTypes="0" containsString="0" containsNumber="1" minValue="0.06" maxValue="299.32"/>
    </cacheField>
    <cacheField name="gdp_worldbank_usd" numFmtId="0">
      <sharedItems containsSemiMixedTypes="0" containsString="0" containsNumber="1" containsInteger="1" minValue="7850809498" maxValue="1239080000000"/>
    </cacheField>
  </cacheFields>
  <extLst>
    <ext xmlns:x14="http://schemas.microsoft.com/office/spreadsheetml/2009/9/main" uri="{725AE2AE-9491-48be-B2B4-4EB974FC3084}">
      <x14:pivotCacheDefinition pivotCacheId="58704676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ar bassiony" refreshedDate="46227.187187037038" createdVersion="8" refreshedVersion="8" minRefreshableVersion="3" recordCount="16" xr:uid="{0C59954D-0D1E-4A4C-AE63-54327A8B2A59}">
  <cacheSource type="worksheet">
    <worksheetSource name="Table6"/>
  </cacheSource>
  <cacheFields count="2">
    <cacheField name="Country" numFmtId="0">
      <sharedItems count="16">
        <s v="Algeria"/>
        <s v="Egypt"/>
        <s v="Ethiopia"/>
        <s v="Iran"/>
        <s v="Iraq"/>
        <s v="Israel"/>
        <s v="Jordan"/>
        <s v="Libya"/>
        <s v="Morocco"/>
        <s v="Nigeria"/>
        <s v="Saudi Arabia"/>
        <s v="South Africa"/>
        <s v="Sudan"/>
        <s v="Tunisia"/>
        <s v="Turkey"/>
        <s v="United Arab Emirates"/>
      </sharedItems>
    </cacheField>
    <cacheField name="Net Elec Imports (TWh)" numFmtId="0">
      <sharedItems containsSemiMixedTypes="0" containsString="0" containsNumber="1" minValue="-6.93" maxValue="6.8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bassiony" refreshedDate="46227.141213194445" backgroundQuery="1" createdVersion="8" refreshedVersion="8" minRefreshableVersion="3" recordCount="0" supportSubquery="1" supportAdvancedDrill="1" xr:uid="{EDEF240A-FD29-482A-B36C-A62D976BEDA6}">
  <cacheSource type="external" connectionId="1"/>
  <cacheFields count="2">
    <cacheField name="[Measures].[Sum of net_elec_imports]" caption="Sum of net_elec_imports" numFmtId="0" hierarchy="50" level="32767"/>
    <cacheField name="[Table3].[year].[year]" caption="year" numFmtId="0" hierarchy="26" level="1">
      <sharedItems containsSemiMixedTypes="0" containsString="0" containsNumber="1" containsInteger="1" minValue="2000" maxValue="2023" count="24">
        <n v="2000"/>
        <n v="2001"/>
        <n v="2002"/>
        <n v="2003"/>
        <n v="2004"/>
        <n v="2005"/>
        <n v="2006"/>
        <n v="2007"/>
        <n v="2008"/>
        <n v="2009"/>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Table3].[year].&amp;[2000]"/>
            <x15:cachedUniqueName index="1" name="[Table3].[year].&amp;[2001]"/>
            <x15:cachedUniqueName index="2" name="[Table3].[year].&amp;[2002]"/>
            <x15:cachedUniqueName index="3" name="[Table3].[year].&amp;[2003]"/>
            <x15:cachedUniqueName index="4" name="[Table3].[year].&amp;[2004]"/>
            <x15:cachedUniqueName index="5" name="[Table3].[year].&amp;[2005]"/>
            <x15:cachedUniqueName index="6" name="[Table3].[year].&amp;[2006]"/>
            <x15:cachedUniqueName index="7" name="[Table3].[year].&amp;[2007]"/>
            <x15:cachedUniqueName index="8" name="[Table3].[year].&amp;[2008]"/>
            <x15:cachedUniqueName index="9" name="[Table3].[year].&amp;[2009]"/>
            <x15:cachedUniqueName index="10" name="[Table3].[year].&amp;[2010]"/>
            <x15:cachedUniqueName index="11" name="[Table3].[year].&amp;[2011]"/>
            <x15:cachedUniqueName index="12" name="[Table3].[year].&amp;[2012]"/>
            <x15:cachedUniqueName index="13" name="[Table3].[year].&amp;[2013]"/>
            <x15:cachedUniqueName index="14" name="[Table3].[year].&amp;[2014]"/>
            <x15:cachedUniqueName index="15" name="[Table3].[year].&amp;[2015]"/>
            <x15:cachedUniqueName index="16" name="[Table3].[year].&amp;[2016]"/>
            <x15:cachedUniqueName index="17" name="[Table3].[year].&amp;[2017]"/>
            <x15:cachedUniqueName index="18" name="[Table3].[year].&amp;[2018]"/>
            <x15:cachedUniqueName index="19" name="[Table3].[year].&amp;[2019]"/>
            <x15:cachedUniqueName index="20" name="[Table3].[year].&amp;[2020]"/>
            <x15:cachedUniqueName index="21" name="[Table3].[year].&amp;[2021]"/>
            <x15:cachedUniqueName index="22" name="[Table3].[year].&amp;[2022]"/>
            <x15:cachedUniqueName index="23" name="[Table3].[year].&amp;[2023]"/>
          </x15:cachedUniqueNames>
        </ext>
      </extLst>
    </cacheField>
  </cacheFields>
  <cacheHierarchies count="52">
    <cacheHierarchy uniqueName="[Table1].[country]" caption="country" attribute="1" defaultMemberUniqueName="[Table1].[country].[All]" allUniqueName="[Table1].[country].[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iso_code]" caption="iso_code" attribute="1" defaultMemberUniqueName="[Table1].[iso_code].[All]" allUniqueName="[Table1].[iso_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income_group]" caption="income_group" attribute="1" defaultMemberUniqueName="[Table1].[income_group].[All]" allUniqueName="[Table1].[income_group].[All]" dimensionUniqueName="[Table1]" displayFolder="" count="0" memberValueDatatype="130" unbalanced="0"/>
    <cacheHierarchy uniqueName="[Table1].[population]" caption="population" attribute="1" defaultMemberUniqueName="[Table1].[population].[All]" allUniqueName="[Table1].[population].[All]" dimensionUniqueName="[Table1]" displayFolder="" count="0" memberValueDatatype="20" unbalanced="0"/>
    <cacheHierarchy uniqueName="[Table1].[gdp]" caption="gdp" attribute="1" defaultMemberUniqueName="[Table1].[gdp].[All]" allUniqueName="[Table1].[gdp].[All]" dimensionUniqueName="[Table1]" displayFolder="" count="0" memberValueDatatype="5" unbalanced="0"/>
    <cacheHierarchy uniqueName="[Table1].[electricity_generation]" caption="electricity_generation" attribute="1" defaultMemberUniqueName="[Table1].[electricity_generation].[All]" allUniqueName="[Table1].[electricity_generation].[All]" dimensionUniqueName="[Table1]" displayFolder="" count="0" memberValueDatatype="5" unbalanced="0"/>
    <cacheHierarchy uniqueName="[Table1].[electricity_demand]" caption="electricity_demand" attribute="1" defaultMemberUniqueName="[Table1].[electricity_demand].[All]" allUniqueName="[Table1].[electricity_demand].[All]" dimensionUniqueName="[Table1]" displayFolder="" count="0" memberValueDatatype="5" unbalanced="0"/>
    <cacheHierarchy uniqueName="[Table1].[electricity_demand_per_capita]" caption="electricity_demand_per_capita" attribute="1" defaultMemberUniqueName="[Table1].[electricity_demand_per_capita].[All]" allUniqueName="[Table1].[electricity_demand_per_capita].[All]" dimensionUniqueName="[Table1]" displayFolder="" count="0" memberValueDatatype="5" unbalanced="0"/>
    <cacheHierarchy uniqueName="[Table1].[net_elec_imports]" caption="net_elec_imports" attribute="1" defaultMemberUniqueName="[Table1].[net_elec_imports].[All]" allUniqueName="[Table1].[net_elec_imports].[All]" dimensionUniqueName="[Table1]" displayFolder="" count="0" memberValueDatatype="5" unbalanced="0"/>
    <cacheHierarchy uniqueName="[Table1].[net_elec_imports_share_demand]" caption="net_elec_imports_share_demand" attribute="1" defaultMemberUniqueName="[Table1].[net_elec_imports_share_demand].[All]" allUniqueName="[Table1].[net_elec_imports_share_demand].[All]" dimensionUniqueName="[Table1]" displayFolder="" count="0" memberValueDatatype="5" unbalanced="0"/>
    <cacheHierarchy uniqueName="[Table1].[gas_production]" caption="gas_production" attribute="1" defaultMemberUniqueName="[Table1].[gas_production].[All]" allUniqueName="[Table1].[gas_production].[All]" dimensionUniqueName="[Table1]" displayFolder="" count="0" memberValueDatatype="5" unbalanced="0"/>
    <cacheHierarchy uniqueName="[Table1].[gas_consumption]" caption="gas_consumption" attribute="1" defaultMemberUniqueName="[Table1].[gas_consumption].[All]" allUniqueName="[Table1].[gas_consumption].[All]" dimensionUniqueName="[Table1]" displayFolder="" count="0" memberValueDatatype="5" unbalanced="0"/>
    <cacheHierarchy uniqueName="[Table1].[gas_prod_per_capita]" caption="gas_prod_per_capita" attribute="1" defaultMemberUniqueName="[Table1].[gas_prod_per_capita].[All]" allUniqueName="[Table1].[gas_prod_per_capita].[All]" dimensionUniqueName="[Table1]" displayFolder="" count="0" memberValueDatatype="5" unbalanced="0"/>
    <cacheHierarchy uniqueName="[Table1].[gas_share_elec]" caption="gas_share_elec" attribute="1" defaultMemberUniqueName="[Table1].[gas_share_elec].[All]" allUniqueName="[Table1].[gas_share_elec].[All]" dimensionUniqueName="[Table1]" displayFolder="" count="0" memberValueDatatype="5" unbalanced="0"/>
    <cacheHierarchy uniqueName="[Table1].[gas_share_energy]" caption="gas_share_energy" attribute="1" defaultMemberUniqueName="[Table1].[gas_share_energy].[All]" allUniqueName="[Table1].[gas_share_energy].[All]" dimensionUniqueName="[Table1]" displayFolder="" count="0" memberValueDatatype="5" unbalanced="0"/>
    <cacheHierarchy uniqueName="[Table1].[oil_production]" caption="oil_production" attribute="1" defaultMemberUniqueName="[Table1].[oil_production].[All]" allUniqueName="[Table1].[oil_production].[All]" dimensionUniqueName="[Table1]" displayFolder="" count="0" memberValueDatatype="5" unbalanced="0"/>
    <cacheHierarchy uniqueName="[Table1].[oil_consumption]" caption="oil_consumption" attribute="1" defaultMemberUniqueName="[Table1].[oil_consumption].[All]" allUniqueName="[Table1].[oil_consumption].[All]" dimensionUniqueName="[Table1]" displayFolder="" count="0" memberValueDatatype="5" unbalanced="0"/>
    <cacheHierarchy uniqueName="[Table1].[renewables_electricity]" caption="renewables_electricity" attribute="1" defaultMemberUniqueName="[Table1].[renewables_electricity].[All]" allUniqueName="[Table1].[renewables_electricity].[All]" dimensionUniqueName="[Table1]" displayFolder="" count="0" memberValueDatatype="5" unbalanced="0"/>
    <cacheHierarchy uniqueName="[Table1].[renewables_share_elec]" caption="renewables_share_elec" attribute="1" defaultMemberUniqueName="[Table1].[renewables_share_elec].[All]" allUniqueName="[Table1].[renewables_share_elec].[All]" dimensionUniqueName="[Table1]" displayFolder="" count="0" memberValueDatatype="5" unbalanced="0"/>
    <cacheHierarchy uniqueName="[Table1].[fossil_electricity]" caption="fossil_electricity" attribute="1" defaultMemberUniqueName="[Table1].[fossil_electricity].[All]" allUniqueName="[Table1].[fossil_electricity].[All]" dimensionUniqueName="[Table1]" displayFolder="" count="0" memberValueDatatype="5" unbalanced="0"/>
    <cacheHierarchy uniqueName="[Table1].[fossil_share_elec]" caption="fossil_share_elec" attribute="1" defaultMemberUniqueName="[Table1].[fossil_share_elec].[All]" allUniqueName="[Table1].[fossil_share_elec].[All]" dimensionUniqueName="[Table1]" displayFolder="" count="0" memberValueDatatype="5" unbalanced="0"/>
    <cacheHierarchy uniqueName="[Table1].[energy_per_capita]" caption="energy_per_capita" attribute="1" defaultMemberUniqueName="[Table1].[energy_per_capita].[All]" allUniqueName="[Table1].[energy_per_capita].[All]" dimensionUniqueName="[Table1]" displayFolder="" count="0" memberValueDatatype="5" unbalanced="0"/>
    <cacheHierarchy uniqueName="[Table1].[greenhouse_gas_emissions]" caption="greenhouse_gas_emissions" attribute="1" defaultMemberUniqueName="[Table1].[greenhouse_gas_emissions].[All]" allUniqueName="[Table1].[greenhouse_gas_emissions].[All]" dimensionUniqueName="[Table1]" displayFolder="" count="0" memberValueDatatype="5" unbalanced="0"/>
    <cacheHierarchy uniqueName="[Table1].[gdp_worldbank_usd]" caption="gdp_worldbank_usd" attribute="1" defaultMemberUniqueName="[Table1].[gdp_worldbank_usd].[All]" allUniqueName="[Table1].[gdp_worldbank_usd].[All]" dimensionUniqueName="[Table1]" displayFolder="" count="0" memberValueDatatype="5" unbalanced="0"/>
    <cacheHierarchy uniqueName="[Table3].[year]" caption="year" attribute="1" defaultMemberUniqueName="[Table3].[year].[All]" allUniqueName="[Table3].[year].[All]" dimensionUniqueName="[Table3]" displayFolder="" count="2" memberValueDatatype="20" unbalanced="0">
      <fieldsUsage count="2">
        <fieldUsage x="-1"/>
        <fieldUsage x="1"/>
      </fieldsUsage>
    </cacheHierarchy>
    <cacheHierarchy uniqueName="[Table3].[Electricity Generation(TWH)]" caption="Electricity Generation(TWH)" attribute="1" defaultMemberUniqueName="[Table3].[Electricity Generation(TWH)].[All]" allUniqueName="[Table3].[Electricity Generation(TWH)].[All]" dimensionUniqueName="[Table3]" displayFolder="" count="0" memberValueDatatype="5" unbalanced="0"/>
    <cacheHierarchy uniqueName="[Table3].[Electricity Demand (TWH0]" caption="Electricity Demand (TWH0" attribute="1" defaultMemberUniqueName="[Table3].[Electricity Demand (TWH0].[All]" allUniqueName="[Table3].[Electricity Demand (TWH0].[All]" dimensionUniqueName="[Table3]" displayFolder="" count="0" memberValueDatatype="5" unbalanced="0"/>
    <cacheHierarchy uniqueName="[Table3].[electricity_demand_per_capita]" caption="electricity_demand_per_capita" attribute="1" defaultMemberUniqueName="[Table3].[electricity_demand_per_capita].[All]" allUniqueName="[Table3].[electricity_demand_per_capita].[All]" dimensionUniqueName="[Table3]" displayFolder="" count="0" memberValueDatatype="5" unbalanced="0"/>
    <cacheHierarchy uniqueName="[Table3].[net_elec_imports]" caption="net_elec_imports" attribute="1" defaultMemberUniqueName="[Table3].[net_elec_imports].[All]" allUniqueName="[Table3].[net_elec_imports].[All]" dimensionUniqueName="[Table3]" displayFolder="" count="0" memberValueDatatype="5" unbalanced="0"/>
    <cacheHierarchy uniqueName="[Table3].[Gas Production (TWH eq)]" caption="Gas Production (TWH eq)" attribute="1" defaultMemberUniqueName="[Table3].[Gas Production (TWH eq)].[All]" allUniqueName="[Table3].[Gas Production (TWH eq)].[All]" dimensionUniqueName="[Table3]" displayFolder="" count="0" memberValueDatatype="5" unbalanced="0"/>
    <cacheHierarchy uniqueName="[Table3].[Gas Consumption (TWH eq)]" caption="Gas Consumption (TWH eq)" attribute="1" defaultMemberUniqueName="[Table3].[Gas Consumption (TWH eq)].[All]" allUniqueName="[Table3].[Gas Consumption (TWH eq)].[All]" dimensionUniqueName="[Table3]" displayFolder="" count="0" memberValueDatatype="5" unbalanced="0"/>
    <cacheHierarchy uniqueName="[Table3].[gas_prod_per_capita]" caption="gas_prod_per_capita" attribute="1" defaultMemberUniqueName="[Table3].[gas_prod_per_capita].[All]" allUniqueName="[Table3].[gas_prod_per_capita].[All]" dimensionUniqueName="[Table3]" displayFolder="" count="0" memberValueDatatype="5" unbalanced="0"/>
    <cacheHierarchy uniqueName="[Table3].[Oil Production (TWH eq)]" caption="Oil Production (TWH eq)" attribute="1" defaultMemberUniqueName="[Table3].[Oil Production (TWH eq)].[All]" allUniqueName="[Table3].[Oil Production (TWH eq)].[All]" dimensionUniqueName="[Table3]" displayFolder="" count="0" memberValueDatatype="5" unbalanced="0"/>
    <cacheHierarchy uniqueName="[Table3].[Oil Consumption (TWH eq)]" caption="Oil Consumption (TWH eq)" attribute="1" defaultMemberUniqueName="[Table3].[Oil Consumption (TWH eq)].[All]" allUniqueName="[Table3].[Oil Consumption (TWH eq)].[All]" dimensionUniqueName="[Table3]" displayFolder="" count="0" memberValueDatatype="5" unbalanced="0"/>
    <cacheHierarchy uniqueName="[Table3].[Renewable Elec (TWH)]" caption="Renewable Elec (TWH)" attribute="1" defaultMemberUniqueName="[Table3].[Renewable Elec (TWH)].[All]" allUniqueName="[Table3].[Renewable Elec (TWH)].[All]" dimensionUniqueName="[Table3]" displayFolder="" count="0" memberValueDatatype="5" unbalanced="0"/>
    <cacheHierarchy uniqueName="[Table3].[renewables_share_elec]" caption="renewables_share_elec" attribute="1" defaultMemberUniqueName="[Table3].[renewables_share_elec].[All]" allUniqueName="[Table3].[renewables_share_elec].[All]" dimensionUniqueName="[Table3]" displayFolder="" count="0" memberValueDatatype="5" unbalanced="0"/>
    <cacheHierarchy uniqueName="[Table3].[Fossil Elec (TWh)]" caption="Fossil Elec (TWh)" attribute="1" defaultMemberUniqueName="[Table3].[Fossil Elec (TWh)].[All]" allUniqueName="[Table3].[Fossil Elec (TWh)].[All]" dimensionUniqueName="[Table3]" displayFolder="" count="0" memberValueDatatype="5" unbalanced="0"/>
    <cacheHierarchy uniqueName="[Table3].[Renewables Share (%)]" caption="Renewables Share (%)" attribute="1" defaultMemberUniqueName="[Table3].[Renewables Share (%)].[All]" allUniqueName="[Table3].[Renewables Share (%)].[All]" dimensionUniqueName="[Table3]" displayFolder="" count="0" memberValueDatatype="5" unbalanced="0"/>
    <cacheHierarchy uniqueName="[Table3].[energy_per_capita]" caption="energy_per_capita" attribute="1" defaultMemberUniqueName="[Table3].[energy_per_capita].[All]" allUniqueName="[Table3].[energy_per_capita].[All]" dimensionUniqueName="[Table3]" displayFolder="" count="0" memberValueDatatype="5" unbalanced="0"/>
    <cacheHierarchy uniqueName="[Table3].[Gas Net Balance (TWh eq)]" caption="Gas Net Balance (TWh eq)" attribute="1" defaultMemberUniqueName="[Table3].[Gas Net Balance (TWh eq)].[All]" allUniqueName="[Table3].[Gas Net Balance (TWh eq)].[All]" dimensionUniqueName="[Table3]" displayFolder="" count="0" memberValueDatatype="5" unbalanced="0"/>
    <cacheHierarchy uniqueName="[Table3].[GDP (current US$, WB)]" caption="GDP (current US$, WB)" attribute="1" defaultMemberUniqueName="[Table3].[GDP (current US$, WB)].[All]" allUniqueName="[Table3].[GDP (current US$, WB)].[All]" dimensionUniqueName="[Table3]" displayFolder="" count="0" memberValueDatatype="5" unbalanced="0"/>
    <cacheHierarchy uniqueName="[Table3].[gas_share_elec]" caption="gas_share_elec" attribute="1" defaultMemberUniqueName="[Table3].[gas_share_elec].[All]" allUniqueName="[Table3].[gas_share_elec].[All]" dimensionUniqueName="[Table3]" displayFolder="" count="0" memberValueDatatype="5" unbalanced="0"/>
    <cacheHierarchy uniqueName="[Table6].[Country]" caption="Country" attribute="1" defaultMemberUniqueName="[Table6].[Country].[All]" allUniqueName="[Table6].[Country].[All]" dimensionUniqueName="[Table6]" displayFolder="" count="0" memberValueDatatype="130" unbalanced="0"/>
    <cacheHierarchy uniqueName="[Table6].[Net Elec Imports (TWh)]" caption="Net Elec Imports (TWh)" attribute="1" defaultMemberUniqueName="[Table6].[Net Elec Imports (TWh)].[All]" allUniqueName="[Table6].[Net Elec Imports (TWh)].[All]" dimensionUniqueName="[Table6]" displayFolder="" count="0" memberValueDatatype="5" unbalanced="0"/>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elec_imports]" caption="Sum of net_elec_imports" measure="1" displayFolder="" measureGroup="Table3"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Net Elec Imports (TWh)]" caption="Sum of Net Elec Imports (TWh)" measure="1" displayFolder="" measureGroup="Table6" count="0" hidden="1">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3" uniqueName="[Table3]" caption="Table3"/>
    <dimension name="Table6" uniqueName="[Table6]" caption="Table6"/>
  </dimensions>
  <measureGroups count="3">
    <measureGroup name="Table1" caption="Table1"/>
    <measureGroup name="Table3" caption="Table3"/>
    <measureGroup name="Table6" caption="Table6"/>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ar bassiony" refreshedDate="46227.190414004632" backgroundQuery="1" createdVersion="8" refreshedVersion="8" minRefreshableVersion="3" recordCount="0" supportSubquery="1" supportAdvancedDrill="1" xr:uid="{4EE9DFFF-CF1C-4928-8ECB-FE13F016C8FD}">
  <cacheSource type="external" connectionId="1"/>
  <cacheFields count="4">
    <cacheField name="[Measures].[Sum of Net Elec Imports (TWh)]" caption="Sum of Net Elec Imports (TWh)" numFmtId="0" hierarchy="51" level="32767"/>
    <cacheField name="[Table6].[Country].[Country]" caption="Country" numFmtId="0" hierarchy="44" level="1">
      <sharedItems count="16">
        <s v="Algeria"/>
        <s v="Egypt"/>
        <s v="Ethiopia"/>
        <s v="Iran"/>
        <s v="Iraq"/>
        <s v="Israel"/>
        <s v="Jordan"/>
        <s v="Libya"/>
        <s v="Morocco"/>
        <s v="Nigeria"/>
        <s v="Saudi Arabia"/>
        <s v="South Africa"/>
        <s v="Sudan"/>
        <s v="Tunisia"/>
        <s v="Turkey"/>
        <s v="United Arab Emirates"/>
      </sharedItems>
    </cacheField>
    <cacheField name="[Table1].[year].[year]" caption="year" numFmtId="0" hierarchy="1" level="1">
      <sharedItems containsSemiMixedTypes="0" containsNonDate="0" containsString="0"/>
    </cacheField>
    <cacheField name="[Table1].[country].[country]" caption="country" numFmtId="0" level="1">
      <sharedItems containsSemiMixedTypes="0" containsNonDate="0" containsString="0"/>
    </cacheField>
  </cacheFields>
  <cacheHierarchies count="52">
    <cacheHierarchy uniqueName="[Table1].[country]" caption="country" attribute="1" defaultMemberUniqueName="[Table1].[country].[All]" allUniqueName="[Table1].[country].[All]" dimensionUniqueName="[Table1]" displayFolder="" count="2" memberValueDatatype="130" unbalanced="0">
      <fieldsUsage count="2">
        <fieldUsage x="-1"/>
        <fieldUsage x="3"/>
      </fieldsUsage>
    </cacheHierarchy>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iso_code]" caption="iso_code" attribute="1" defaultMemberUniqueName="[Table1].[iso_code].[All]" allUniqueName="[Table1].[iso_cod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income_group]" caption="income_group" attribute="1" defaultMemberUniqueName="[Table1].[income_group].[All]" allUniqueName="[Table1].[income_group].[All]" dimensionUniqueName="[Table1]" displayFolder="" count="2" memberValueDatatype="130" unbalanced="0"/>
    <cacheHierarchy uniqueName="[Table1].[population]" caption="population" attribute="1" defaultMemberUniqueName="[Table1].[population].[All]" allUniqueName="[Table1].[population].[All]" dimensionUniqueName="[Table1]" displayFolder="" count="2" memberValueDatatype="20" unbalanced="0"/>
    <cacheHierarchy uniqueName="[Table1].[gdp]" caption="gdp" attribute="1" defaultMemberUniqueName="[Table1].[gdp].[All]" allUniqueName="[Table1].[gdp].[All]" dimensionUniqueName="[Table1]" displayFolder="" count="2" memberValueDatatype="5" unbalanced="0"/>
    <cacheHierarchy uniqueName="[Table1].[electricity_generation]" caption="electricity_generation" attribute="1" defaultMemberUniqueName="[Table1].[electricity_generation].[All]" allUniqueName="[Table1].[electricity_generation].[All]" dimensionUniqueName="[Table1]" displayFolder="" count="2" memberValueDatatype="5" unbalanced="0"/>
    <cacheHierarchy uniqueName="[Table1].[electricity_demand]" caption="electricity_demand" attribute="1" defaultMemberUniqueName="[Table1].[electricity_demand].[All]" allUniqueName="[Table1].[electricity_demand].[All]" dimensionUniqueName="[Table1]" displayFolder="" count="2" memberValueDatatype="5" unbalanced="0"/>
    <cacheHierarchy uniqueName="[Table1].[electricity_demand_per_capita]" caption="electricity_demand_per_capita" attribute="1" defaultMemberUniqueName="[Table1].[electricity_demand_per_capita].[All]" allUniqueName="[Table1].[electricity_demand_per_capita].[All]" dimensionUniqueName="[Table1]" displayFolder="" count="2" memberValueDatatype="5" unbalanced="0"/>
    <cacheHierarchy uniqueName="[Table1].[net_elec_imports]" caption="net_elec_imports" attribute="1" defaultMemberUniqueName="[Table1].[net_elec_imports].[All]" allUniqueName="[Table1].[net_elec_imports].[All]" dimensionUniqueName="[Table1]" displayFolder="" count="2" memberValueDatatype="5" unbalanced="0"/>
    <cacheHierarchy uniqueName="[Table1].[net_elec_imports_share_demand]" caption="net_elec_imports_share_demand" attribute="1" defaultMemberUniqueName="[Table1].[net_elec_imports_share_demand].[All]" allUniqueName="[Table1].[net_elec_imports_share_demand].[All]" dimensionUniqueName="[Table1]" displayFolder="" count="2" memberValueDatatype="5" unbalanced="0"/>
    <cacheHierarchy uniqueName="[Table1].[gas_production]" caption="gas_production" attribute="1" defaultMemberUniqueName="[Table1].[gas_production].[All]" allUniqueName="[Table1].[gas_production].[All]" dimensionUniqueName="[Table1]" displayFolder="" count="2" memberValueDatatype="5" unbalanced="0"/>
    <cacheHierarchy uniqueName="[Table1].[gas_consumption]" caption="gas_consumption" attribute="1" defaultMemberUniqueName="[Table1].[gas_consumption].[All]" allUniqueName="[Table1].[gas_consumption].[All]" dimensionUniqueName="[Table1]" displayFolder="" count="2" memberValueDatatype="5" unbalanced="0"/>
    <cacheHierarchy uniqueName="[Table1].[gas_prod_per_capita]" caption="gas_prod_per_capita" attribute="1" defaultMemberUniqueName="[Table1].[gas_prod_per_capita].[All]" allUniqueName="[Table1].[gas_prod_per_capita].[All]" dimensionUniqueName="[Table1]" displayFolder="" count="2" memberValueDatatype="5" unbalanced="0"/>
    <cacheHierarchy uniqueName="[Table1].[gas_share_elec]" caption="gas_share_elec" attribute="1" defaultMemberUniqueName="[Table1].[gas_share_elec].[All]" allUniqueName="[Table1].[gas_share_elec].[All]" dimensionUniqueName="[Table1]" displayFolder="" count="2" memberValueDatatype="5" unbalanced="0"/>
    <cacheHierarchy uniqueName="[Table1].[gas_share_energy]" caption="gas_share_energy" attribute="1" defaultMemberUniqueName="[Table1].[gas_share_energy].[All]" allUniqueName="[Table1].[gas_share_energy].[All]" dimensionUniqueName="[Table1]" displayFolder="" count="2" memberValueDatatype="5" unbalanced="0"/>
    <cacheHierarchy uniqueName="[Table1].[oil_production]" caption="oil_production" attribute="1" defaultMemberUniqueName="[Table1].[oil_production].[All]" allUniqueName="[Table1].[oil_production].[All]" dimensionUniqueName="[Table1]" displayFolder="" count="2" memberValueDatatype="5" unbalanced="0"/>
    <cacheHierarchy uniqueName="[Table1].[oil_consumption]" caption="oil_consumption" attribute="1" defaultMemberUniqueName="[Table1].[oil_consumption].[All]" allUniqueName="[Table1].[oil_consumption].[All]" dimensionUniqueName="[Table1]" displayFolder="" count="2" memberValueDatatype="5" unbalanced="0"/>
    <cacheHierarchy uniqueName="[Table1].[renewables_electricity]" caption="renewables_electricity" attribute="1" defaultMemberUniqueName="[Table1].[renewables_electricity].[All]" allUniqueName="[Table1].[renewables_electricity].[All]" dimensionUniqueName="[Table1]" displayFolder="" count="2" memberValueDatatype="5" unbalanced="0"/>
    <cacheHierarchy uniqueName="[Table1].[renewables_share_elec]" caption="renewables_share_elec" attribute="1" defaultMemberUniqueName="[Table1].[renewables_share_elec].[All]" allUniqueName="[Table1].[renewables_share_elec].[All]" dimensionUniqueName="[Table1]" displayFolder="" count="2" memberValueDatatype="5" unbalanced="0"/>
    <cacheHierarchy uniqueName="[Table1].[fossil_electricity]" caption="fossil_electricity" attribute="1" defaultMemberUniqueName="[Table1].[fossil_electricity].[All]" allUniqueName="[Table1].[fossil_electricity].[All]" dimensionUniqueName="[Table1]" displayFolder="" count="2" memberValueDatatype="5" unbalanced="0"/>
    <cacheHierarchy uniqueName="[Table1].[fossil_share_elec]" caption="fossil_share_elec" attribute="1" defaultMemberUniqueName="[Table1].[fossil_share_elec].[All]" allUniqueName="[Table1].[fossil_share_elec].[All]" dimensionUniqueName="[Table1]" displayFolder="" count="2" memberValueDatatype="5" unbalanced="0"/>
    <cacheHierarchy uniqueName="[Table1].[energy_per_capita]" caption="energy_per_capita" attribute="1" defaultMemberUniqueName="[Table1].[energy_per_capita].[All]" allUniqueName="[Table1].[energy_per_capita].[All]" dimensionUniqueName="[Table1]" displayFolder="" count="2" memberValueDatatype="5" unbalanced="0"/>
    <cacheHierarchy uniqueName="[Table1].[greenhouse_gas_emissions]" caption="greenhouse_gas_emissions" attribute="1" defaultMemberUniqueName="[Table1].[greenhouse_gas_emissions].[All]" allUniqueName="[Table1].[greenhouse_gas_emissions].[All]" dimensionUniqueName="[Table1]" displayFolder="" count="2" memberValueDatatype="5" unbalanced="0"/>
    <cacheHierarchy uniqueName="[Table1].[gdp_worldbank_usd]" caption="gdp_worldbank_usd" attribute="1" defaultMemberUniqueName="[Table1].[gdp_worldbank_usd].[All]" allUniqueName="[Table1].[gdp_worldbank_usd].[All]" dimensionUniqueName="[Table1]" displayFolder="" count="2" memberValueDatatype="5" unbalanced="0"/>
    <cacheHierarchy uniqueName="[Table3].[year]" caption="year" attribute="1" defaultMemberUniqueName="[Table3].[year].[All]" allUniqueName="[Table3].[year].[All]" dimensionUniqueName="[Table3]" displayFolder="" count="2" memberValueDatatype="20" unbalanced="0"/>
    <cacheHierarchy uniqueName="[Table3].[Electricity Generation(TWH)]" caption="Electricity Generation(TWH)" attribute="1" defaultMemberUniqueName="[Table3].[Electricity Generation(TWH)].[All]" allUniqueName="[Table3].[Electricity Generation(TWH)].[All]" dimensionUniqueName="[Table3]" displayFolder="" count="2" memberValueDatatype="5" unbalanced="0"/>
    <cacheHierarchy uniqueName="[Table3].[Electricity Demand (TWH0]" caption="Electricity Demand (TWH0" attribute="1" defaultMemberUniqueName="[Table3].[Electricity Demand (TWH0].[All]" allUniqueName="[Table3].[Electricity Demand (TWH0].[All]" dimensionUniqueName="[Table3]" displayFolder="" count="2" memberValueDatatype="5" unbalanced="0"/>
    <cacheHierarchy uniqueName="[Table3].[electricity_demand_per_capita]" caption="electricity_demand_per_capita" attribute="1" defaultMemberUniqueName="[Table3].[electricity_demand_per_capita].[All]" allUniqueName="[Table3].[electricity_demand_per_capita].[All]" dimensionUniqueName="[Table3]" displayFolder="" count="2" memberValueDatatype="5" unbalanced="0"/>
    <cacheHierarchy uniqueName="[Table3].[net_elec_imports]" caption="net_elec_imports" attribute="1" defaultMemberUniqueName="[Table3].[net_elec_imports].[All]" allUniqueName="[Table3].[net_elec_imports].[All]" dimensionUniqueName="[Table3]" displayFolder="" count="2" memberValueDatatype="5" unbalanced="0"/>
    <cacheHierarchy uniqueName="[Table3].[Gas Production (TWH eq)]" caption="Gas Production (TWH eq)" attribute="1" defaultMemberUniqueName="[Table3].[Gas Production (TWH eq)].[All]" allUniqueName="[Table3].[Gas Production (TWH eq)].[All]" dimensionUniqueName="[Table3]" displayFolder="" count="2" memberValueDatatype="5" unbalanced="0"/>
    <cacheHierarchy uniqueName="[Table3].[Gas Consumption (TWH eq)]" caption="Gas Consumption (TWH eq)" attribute="1" defaultMemberUniqueName="[Table3].[Gas Consumption (TWH eq)].[All]" allUniqueName="[Table3].[Gas Consumption (TWH eq)].[All]" dimensionUniqueName="[Table3]" displayFolder="" count="2" memberValueDatatype="5" unbalanced="0"/>
    <cacheHierarchy uniqueName="[Table3].[gas_prod_per_capita]" caption="gas_prod_per_capita" attribute="1" defaultMemberUniqueName="[Table3].[gas_prod_per_capita].[All]" allUniqueName="[Table3].[gas_prod_per_capita].[All]" dimensionUniqueName="[Table3]" displayFolder="" count="2" memberValueDatatype="5" unbalanced="0"/>
    <cacheHierarchy uniqueName="[Table3].[Oil Production (TWH eq)]" caption="Oil Production (TWH eq)" attribute="1" defaultMemberUniqueName="[Table3].[Oil Production (TWH eq)].[All]" allUniqueName="[Table3].[Oil Production (TWH eq)].[All]" dimensionUniqueName="[Table3]" displayFolder="" count="2" memberValueDatatype="5" unbalanced="0"/>
    <cacheHierarchy uniqueName="[Table3].[Oil Consumption (TWH eq)]" caption="Oil Consumption (TWH eq)" attribute="1" defaultMemberUniqueName="[Table3].[Oil Consumption (TWH eq)].[All]" allUniqueName="[Table3].[Oil Consumption (TWH eq)].[All]" dimensionUniqueName="[Table3]" displayFolder="" count="2" memberValueDatatype="5" unbalanced="0"/>
    <cacheHierarchy uniqueName="[Table3].[Renewable Elec (TWH)]" caption="Renewable Elec (TWH)" attribute="1" defaultMemberUniqueName="[Table3].[Renewable Elec (TWH)].[All]" allUniqueName="[Table3].[Renewable Elec (TWH)].[All]" dimensionUniqueName="[Table3]" displayFolder="" count="2" memberValueDatatype="5" unbalanced="0"/>
    <cacheHierarchy uniqueName="[Table3].[renewables_share_elec]" caption="renewables_share_elec" attribute="1" defaultMemberUniqueName="[Table3].[renewables_share_elec].[All]" allUniqueName="[Table3].[renewables_share_elec].[All]" dimensionUniqueName="[Table3]" displayFolder="" count="2" memberValueDatatype="5" unbalanced="0"/>
    <cacheHierarchy uniqueName="[Table3].[Fossil Elec (TWh)]" caption="Fossil Elec (TWh)" attribute="1" defaultMemberUniqueName="[Table3].[Fossil Elec (TWh)].[All]" allUniqueName="[Table3].[Fossil Elec (TWh)].[All]" dimensionUniqueName="[Table3]" displayFolder="" count="2" memberValueDatatype="5" unbalanced="0"/>
    <cacheHierarchy uniqueName="[Table3].[Renewables Share (%)]" caption="Renewables Share (%)" attribute="1" defaultMemberUniqueName="[Table3].[Renewables Share (%)].[All]" allUniqueName="[Table3].[Renewables Share (%)].[All]" dimensionUniqueName="[Table3]" displayFolder="" count="2" memberValueDatatype="5" unbalanced="0"/>
    <cacheHierarchy uniqueName="[Table3].[energy_per_capita]" caption="energy_per_capita" attribute="1" defaultMemberUniqueName="[Table3].[energy_per_capita].[All]" allUniqueName="[Table3].[energy_per_capita].[All]" dimensionUniqueName="[Table3]" displayFolder="" count="2" memberValueDatatype="5" unbalanced="0"/>
    <cacheHierarchy uniqueName="[Table3].[Gas Net Balance (TWh eq)]" caption="Gas Net Balance (TWh eq)" attribute="1" defaultMemberUniqueName="[Table3].[Gas Net Balance (TWh eq)].[All]" allUniqueName="[Table3].[Gas Net Balance (TWh eq)].[All]" dimensionUniqueName="[Table3]" displayFolder="" count="2" memberValueDatatype="5" unbalanced="0"/>
    <cacheHierarchy uniqueName="[Table3].[GDP (current US$, WB)]" caption="GDP (current US$, WB)" attribute="1" defaultMemberUniqueName="[Table3].[GDP (current US$, WB)].[All]" allUniqueName="[Table3].[GDP (current US$, WB)].[All]" dimensionUniqueName="[Table3]" displayFolder="" count="2" memberValueDatatype="5" unbalanced="0"/>
    <cacheHierarchy uniqueName="[Table3].[gas_share_elec]" caption="gas_share_elec" attribute="1" defaultMemberUniqueName="[Table3].[gas_share_elec].[All]" allUniqueName="[Table3].[gas_share_elec].[All]" dimensionUniqueName="[Table3]" displayFolder="" count="2" memberValueDatatype="5" unbalanced="0"/>
    <cacheHierarchy uniqueName="[Table6].[Country]" caption="Country" attribute="1" defaultMemberUniqueName="[Table6].[Country].[All]" allUniqueName="[Table6].[Country].[All]" dimensionUniqueName="[Table6]" displayFolder="" count="2" memberValueDatatype="130" unbalanced="0">
      <fieldsUsage count="2">
        <fieldUsage x="-1"/>
        <fieldUsage x="1"/>
      </fieldsUsage>
    </cacheHierarchy>
    <cacheHierarchy uniqueName="[Table6].[Net Elec Imports (TWh)]" caption="Net Elec Imports (TWh)" attribute="1" defaultMemberUniqueName="[Table6].[Net Elec Imports (TWh)].[All]" allUniqueName="[Table6].[Net Elec Imports (TWh)].[All]" dimensionUniqueName="[Table6]" displayFolder="" count="2" memberValueDatatype="5" unbalanced="0"/>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net_elec_imports]" caption="Sum of net_elec_imports" measure="1" displayFolder="" measureGroup="Table3" count="0" hidden="1">
      <extLst>
        <ext xmlns:x15="http://schemas.microsoft.com/office/spreadsheetml/2010/11/main" uri="{B97F6D7D-B522-45F9-BDA1-12C45D357490}">
          <x15:cacheHierarchy aggregatedColumn="30"/>
        </ext>
      </extLst>
    </cacheHierarchy>
    <cacheHierarchy uniqueName="[Measures].[Sum of Net Elec Imports (TWh)]" caption="Sum of Net Elec Imports (TWh)" measure="1" displayFolder="" measureGroup="Table6" count="0" oneField="1" hidden="1">
      <fieldsUsage count="1">
        <fieldUsage x="0"/>
      </fieldsUsage>
      <extLst>
        <ext xmlns:x15="http://schemas.microsoft.com/office/spreadsheetml/2010/11/main" uri="{B97F6D7D-B522-45F9-BDA1-12C45D357490}">
          <x15:cacheHierarchy aggregatedColumn="45"/>
        </ext>
      </extLst>
    </cacheHierarchy>
  </cacheHierarchies>
  <kpis count="0"/>
  <dimensions count="4">
    <dimension measure="1" name="Measures" uniqueName="[Measures]" caption="Measures"/>
    <dimension name="Table1" uniqueName="[Table1]" caption="Table1"/>
    <dimension name="Table3" uniqueName="[Table3]" caption="Table3"/>
    <dimension name="Table6" uniqueName="[Table6]" caption="Table6"/>
  </dimensions>
  <measureGroups count="3">
    <measureGroup name="Table1" caption="Table1"/>
    <measureGroup name="Table3" caption="Table3"/>
    <measureGroup name="Table6" caption="Table6"/>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x v="0"/>
    <n v="192.5"/>
    <x v="0"/>
    <x v="0"/>
    <n v="14.26"/>
    <n v="59.06"/>
    <n v="0.19448990725586468"/>
    <n v="9.625"/>
    <n v="99838543960"/>
  </r>
  <r>
    <x v="1"/>
    <x v="1"/>
    <x v="1"/>
    <x v="1"/>
    <n v="235.81200000000001"/>
    <x v="1"/>
    <x v="1"/>
    <n v="14.59"/>
    <n v="66.12"/>
    <n v="0.18077066038904718"/>
    <n v="6.7379999999999995"/>
    <n v="96684636119"/>
  </r>
  <r>
    <x v="2"/>
    <x v="2"/>
    <x v="2"/>
    <x v="2"/>
    <n v="255.06200000000001"/>
    <x v="2"/>
    <x v="2"/>
    <n v="14.2"/>
    <n v="72.03"/>
    <n v="0.16467586686767943"/>
    <n v="7.700999999999965"/>
    <n v="85146067416"/>
  </r>
  <r>
    <x v="3"/>
    <x v="3"/>
    <x v="3"/>
    <x v="3"/>
    <n v="285.86200000000002"/>
    <x v="3"/>
    <x v="3"/>
    <n v="13.23"/>
    <n v="78.959999999999994"/>
    <n v="0.14350797266514806"/>
    <n v="3.8509999999999991"/>
    <n v="80288461538"/>
  </r>
  <r>
    <x v="4"/>
    <x v="4"/>
    <x v="4"/>
    <x v="4"/>
    <n v="305.11200000000002"/>
    <x v="4"/>
    <x v="4"/>
    <n v="13.33"/>
    <n v="84.92"/>
    <n v="0.13567430025445293"/>
    <n v="12.512999999999977"/>
    <n v="78782467532"/>
  </r>
  <r>
    <x v="5"/>
    <x v="5"/>
    <x v="5"/>
    <x v="5"/>
    <n v="304.14999999999998"/>
    <x v="5"/>
    <x v="5"/>
    <n v="13.15"/>
    <n v="91.79"/>
    <n v="0.12530970078139889"/>
    <n v="104.91200000000003"/>
    <n v="89660339660"/>
  </r>
  <r>
    <x v="6"/>
    <x v="6"/>
    <x v="6"/>
    <x v="6"/>
    <n v="351.31200000000001"/>
    <x v="6"/>
    <x v="6"/>
    <n v="13.39"/>
    <n v="98.27"/>
    <n v="0.11991760702131471"/>
    <n v="175.17499999999995"/>
    <n v="107426000000"/>
  </r>
  <r>
    <x v="7"/>
    <x v="7"/>
    <x v="7"/>
    <x v="7"/>
    <n v="369.21499999999997"/>
    <x v="7"/>
    <x v="7"/>
    <n v="14.88"/>
    <n v="104.98"/>
    <n v="0.12414483564158185"/>
    <n v="166.80099999999999"/>
    <n v="130438000000"/>
  </r>
  <r>
    <x v="8"/>
    <x v="8"/>
    <x v="8"/>
    <x v="8"/>
    <n v="393.08499999999998"/>
    <x v="8"/>
    <x v="8"/>
    <n v="16.03"/>
    <n v="112.77"/>
    <n v="0.12445652173913044"/>
    <n v="174.50100000000003"/>
    <n v="162818000000"/>
  </r>
  <r>
    <x v="9"/>
    <x v="9"/>
    <x v="9"/>
    <x v="9"/>
    <n v="409.447"/>
    <x v="9"/>
    <x v="9"/>
    <n v="14.81"/>
    <n v="119.46"/>
    <n v="0.11030014150592092"/>
    <n v="193.94399999999996"/>
    <n v="189147000000"/>
  </r>
  <r>
    <x v="10"/>
    <x v="10"/>
    <x v="10"/>
    <x v="10"/>
    <n v="434.18400000000003"/>
    <x v="10"/>
    <x v="10"/>
    <n v="14.39"/>
    <n v="130.04"/>
    <n v="9.9633040227099637E-2"/>
    <n v="156.02100000000002"/>
    <n v="218984000000"/>
  </r>
  <r>
    <x v="11"/>
    <x v="11"/>
    <x v="11"/>
    <x v="11"/>
    <n v="477.59300000000002"/>
    <x v="11"/>
    <x v="11"/>
    <n v="14.72"/>
    <n v="134.84"/>
    <n v="9.8422037978069005E-2"/>
    <n v="113.83999999999997"/>
    <n v="235990000000"/>
  </r>
  <r>
    <x v="12"/>
    <x v="12"/>
    <x v="12"/>
    <x v="12"/>
    <n v="506.37099999999998"/>
    <x v="12"/>
    <x v="12"/>
    <n v="14.87"/>
    <n v="147.97"/>
    <n v="9.1316629820682865E-2"/>
    <n v="79.61099999999999"/>
    <n v="279117000000"/>
  </r>
  <r>
    <x v="13"/>
    <x v="13"/>
    <x v="13"/>
    <x v="13"/>
    <n v="495.01400000000001"/>
    <x v="13"/>
    <x v="13"/>
    <n v="14.85"/>
    <n v="150.22999999999999"/>
    <n v="8.995638478313546E-2"/>
    <n v="44.634000000000015"/>
    <n v="288434000000"/>
  </r>
  <r>
    <x v="14"/>
    <x v="14"/>
    <x v="14"/>
    <x v="14"/>
    <n v="462.18799999999999"/>
    <x v="14"/>
    <x v="14"/>
    <n v="14.76"/>
    <n v="156.47999999999999"/>
    <n v="8.61948142957253E-2"/>
    <n v="7.4230000000000018"/>
    <n v="305595000000"/>
  </r>
  <r>
    <x v="15"/>
    <x v="15"/>
    <x v="15"/>
    <x v="15"/>
    <n v="460.18799999999999"/>
    <x v="15"/>
    <x v="15"/>
    <n v="15.61"/>
    <n v="166.22"/>
    <n v="8.5849419787713807E-2"/>
    <n v="-34.281999999999982"/>
    <n v="329367000000"/>
  </r>
  <r>
    <x v="16"/>
    <x v="16"/>
    <x v="16"/>
    <x v="16"/>
    <n v="493.541"/>
    <x v="16"/>
    <x v="16"/>
    <n v="15.83"/>
    <n v="172.36"/>
    <n v="8.4117115680960725E-2"/>
    <n v="-91.024000000000001"/>
    <n v="332442000000"/>
  </r>
  <r>
    <x v="17"/>
    <x v="17"/>
    <x v="17"/>
    <x v="17"/>
    <n v="559.32799999999997"/>
    <x v="17"/>
    <x v="17"/>
    <n v="15.5"/>
    <n v="177.71"/>
    <n v="8.0223590911443501E-2"/>
    <n v="-71.214999999999975"/>
    <n v="248363000000"/>
  </r>
  <r>
    <x v="18"/>
    <x v="18"/>
    <x v="18"/>
    <x v="18"/>
    <n v="595.95299999999997"/>
    <x v="18"/>
    <x v="18"/>
    <n v="16.46"/>
    <n v="182.93"/>
    <n v="8.2551782937960783E-2"/>
    <n v="-10.362999999999943"/>
    <n v="262589000000"/>
  </r>
  <r>
    <x v="19"/>
    <x v="19"/>
    <x v="19"/>
    <x v="19"/>
    <n v="590.38699999999994"/>
    <x v="19"/>
    <x v="19"/>
    <n v="19.59"/>
    <n v="180.98"/>
    <n v="9.7671635837862092E-2"/>
    <n v="59.00100000000009"/>
    <n v="318679000000"/>
  </r>
  <r>
    <x v="20"/>
    <x v="20"/>
    <x v="20"/>
    <x v="20"/>
    <n v="583.07899999999995"/>
    <x v="20"/>
    <x v="20"/>
    <n v="23.76"/>
    <n v="174.84"/>
    <n v="0.11963746223564956"/>
    <n v="1.5730000000000928"/>
    <n v="383818000000"/>
  </r>
  <r>
    <x v="21"/>
    <x v="21"/>
    <x v="21"/>
    <x v="21"/>
    <n v="621.24800000000005"/>
    <x v="21"/>
    <x v="21"/>
    <n v="25.36"/>
    <n v="184.3"/>
    <n v="0.12095774110464561"/>
    <n v="56.745999999999981"/>
    <n v="424672000000"/>
  </r>
  <r>
    <x v="22"/>
    <x v="22"/>
    <x v="22"/>
    <x v="22"/>
    <n v="605.90899999999999"/>
    <x v="22"/>
    <x v="22"/>
    <n v="25.61"/>
    <n v="191.11"/>
    <n v="0.11817091177556292"/>
    <n v="38.972999999999956"/>
    <n v="476748000000"/>
  </r>
  <r>
    <x v="23"/>
    <x v="23"/>
    <x v="23"/>
    <x v="23"/>
    <n v="600.39"/>
    <x v="23"/>
    <x v="23"/>
    <n v="25.97"/>
    <n v="195.95"/>
    <n v="0.11702415284787311"/>
    <n v="-29.385999999999967"/>
    <n v="395926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0.15"/>
    <n v="-2.0499999999999997E-3"/>
    <n v="9.625"/>
    <n v="128.846"/>
  </r>
  <r>
    <x v="1"/>
    <n v="-0.21"/>
    <n v="-2.6099999999999999E-3"/>
    <n v="6.7379999999999995"/>
    <n v="131.55500000000001"/>
  </r>
  <r>
    <x v="2"/>
    <n v="-0.78"/>
    <n v="-9.130000000000001E-3"/>
    <n v="7.700999999999965"/>
    <n v="128.94"/>
  </r>
  <r>
    <x v="3"/>
    <n v="-0.92"/>
    <n v="-1.008E-2"/>
    <n v="3.8509999999999991"/>
    <n v="119.27500000000003"/>
  </r>
  <r>
    <x v="4"/>
    <n v="-0.7"/>
    <n v="-7.1799999999999998E-3"/>
    <n v="12.512999999999977"/>
    <n v="76.798999999999978"/>
  </r>
  <r>
    <x v="5"/>
    <n v="-0.78"/>
    <n v="-7.4900000000000001E-3"/>
    <n v="104.91200000000003"/>
    <n v="38.031999999999982"/>
  </r>
  <r>
    <x v="6"/>
    <n v="-0.35"/>
    <n v="-3.14E-3"/>
    <n v="175.17499999999995"/>
    <n v="48.339999999999975"/>
  </r>
  <r>
    <x v="7"/>
    <n v="-0.56000000000000005"/>
    <n v="-4.6899999999999997E-3"/>
    <n v="166.80099999999999"/>
    <n v="28.923000000000002"/>
  </r>
  <r>
    <x v="8"/>
    <n v="-0.9"/>
    <n v="-7.0399999999999994E-3"/>
    <n v="174.50100000000003"/>
    <n v="17.412999999999954"/>
  </r>
  <r>
    <x v="9"/>
    <n v="-0.94"/>
    <n v="-7.0499999999999998E-3"/>
    <n v="193.94399999999996"/>
    <n v="6.4130000000000109"/>
  </r>
  <r>
    <x v="10"/>
    <n v="-1.44"/>
    <n v="-1.0069999999999999E-2"/>
    <n v="156.02100000000002"/>
    <n v="-8.1949999999999932"/>
  </r>
  <r>
    <x v="11"/>
    <n v="-1.58"/>
    <n v="-1.068E-2"/>
    <n v="113.83999999999997"/>
    <n v="-15.835999999999956"/>
  </r>
  <r>
    <x v="12"/>
    <n v="-0.4"/>
    <n v="-2.4599999999999999E-3"/>
    <n v="79.61099999999999"/>
    <n v="-24.361000000000047"/>
  </r>
  <r>
    <x v="13"/>
    <n v="-0.4"/>
    <n v="-2.4299999999999999E-3"/>
    <n v="44.634000000000015"/>
    <n v="-33.70799999999997"/>
  </r>
  <r>
    <x v="14"/>
    <n v="-0.68"/>
    <n v="-3.9900000000000005E-3"/>
    <n v="7.4230000000000018"/>
    <n v="-46.607000000000028"/>
  </r>
  <r>
    <x v="15"/>
    <n v="-0.69"/>
    <n v="-3.81E-3"/>
    <n v="-34.281999999999982"/>
    <n v="-52.47399999999999"/>
  </r>
  <r>
    <x v="16"/>
    <n v="-0.27"/>
    <n v="-1.4399999999999999E-3"/>
    <n v="-91.024000000000001"/>
    <n v="-86.677000000000021"/>
  </r>
  <r>
    <x v="17"/>
    <n v="-0.34"/>
    <n v="-1.7599999999999998E-3"/>
    <n v="-71.214999999999975"/>
    <n v="-81.98599999999999"/>
  </r>
  <r>
    <x v="18"/>
    <n v="-0.56999999999999995"/>
    <n v="-2.8699999999999997E-3"/>
    <n v="-10.362999999999943"/>
    <n v="-24.468999999999994"/>
  </r>
  <r>
    <x v="19"/>
    <n v="-0.79"/>
    <n v="-3.9500000000000004E-3"/>
    <n v="59.00100000000009"/>
    <n v="-13.639999999999986"/>
  </r>
  <r>
    <x v="20"/>
    <n v="-1.42"/>
    <n v="-7.1999999999999998E-3"/>
    <n v="1.5730000000000928"/>
    <n v="28.622000000000014"/>
  </r>
  <r>
    <x v="21"/>
    <n v="-1.47"/>
    <n v="-7.0599999999999994E-3"/>
    <n v="56.745999999999981"/>
    <n v="-15.302999999999997"/>
  </r>
  <r>
    <x v="22"/>
    <n v="-1.57"/>
    <n v="-7.3000000000000001E-3"/>
    <n v="38.972999999999956"/>
    <n v="-75.836000000000013"/>
  </r>
  <r>
    <x v="23"/>
    <n v="-1.39"/>
    <n v="-6.3E-3"/>
    <n v="-29.385999999999967"/>
    <n v="-68.72000000000002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0.05"/>
    <s v="مؤكد"/>
    <s v="Marefa — ثابت منذ 1993"/>
  </r>
  <r>
    <x v="1"/>
    <n v="0.05"/>
    <s v="مؤكد"/>
    <s v="Marefa — ثابت منذ 1993"/>
  </r>
  <r>
    <x v="2"/>
    <n v="0.05"/>
    <s v="مؤكد"/>
    <s v="Marefa — ثابت منذ 1993"/>
  </r>
  <r>
    <x v="3"/>
    <n v="0.05"/>
    <s v="مؤكد"/>
    <s v="Marefa — ثابت منذ 1993"/>
  </r>
  <r>
    <x v="4"/>
    <n v="0.05"/>
    <s v="مؤكد"/>
    <s v="Marefa — ثابت منذ 1993"/>
  </r>
  <r>
    <x v="5"/>
    <n v="0.05"/>
    <s v="مؤكد"/>
    <s v="Marefa — ثابت منذ 1993"/>
  </r>
  <r>
    <x v="6"/>
    <n v="0.05"/>
    <s v="مؤكد"/>
    <s v="Marefa — ثابت منذ 1993"/>
  </r>
  <r>
    <x v="7"/>
    <n v="0.05"/>
    <s v="مؤكد"/>
    <s v="Marefa — ثابت منذ 1993"/>
  </r>
  <r>
    <x v="8"/>
    <n v="0.05"/>
    <s v="مؤكد"/>
    <s v="Marefa — ثابت منذ 1993"/>
  </r>
  <r>
    <x v="9"/>
    <n v="0.05"/>
    <s v="مؤكد"/>
    <s v="Marefa — ثابت منذ 1993"/>
  </r>
  <r>
    <x v="10"/>
    <n v="0.05"/>
    <s v="مؤكد"/>
    <s v="Marefa — ثابت منذ 1993"/>
  </r>
  <r>
    <x v="11"/>
    <n v="0.05"/>
    <s v="مؤكد"/>
    <s v="Marefa — ثابت منذ 1993"/>
  </r>
  <r>
    <x v="12"/>
    <n v="0.05"/>
    <s v="مؤكد"/>
    <s v="Marefa — ثابت منذ 1993"/>
  </r>
  <r>
    <x v="13"/>
    <n v="0.05"/>
    <s v="مؤكد"/>
    <s v="Marefa — ثابت منذ 1993"/>
  </r>
  <r>
    <x v="14"/>
    <n v="7.4999999999999997E-2"/>
    <s v="مؤكد"/>
    <s v="Masrawy — بداية خطة رفع الدعم (يوليو 2014)"/>
  </r>
  <r>
    <x v="15"/>
    <n v="7.4999999999999997E-2"/>
    <s v="غير مؤكد"/>
    <s v="زيادة سنوية جزء من خطة 5 سنوات — الرقم الدقيق غير متاح رغم بحث إضافي"/>
  </r>
  <r>
    <x v="16"/>
    <n v="0.1"/>
    <s v="غير مؤكد"/>
    <s v="زيادة سنوية جزء من خطة 5 سنوات — الرقم الدقيق غير متاح رغم بحث إضافي"/>
  </r>
  <r>
    <x v="17"/>
    <n v="0.13"/>
    <s v="غير مؤكد"/>
    <s v="زيادة سنوية جزء من خطة 5 سنوات — الرقم الدقيق غير متاح رغم بحث إضافي"/>
  </r>
  <r>
    <x v="18"/>
    <n v="0.22"/>
    <s v="مؤكد"/>
    <s v="Masrawy (فبراير 2020) — مذكور كسعر سابق مقارنةً بـ2019"/>
  </r>
  <r>
    <x v="19"/>
    <n v="0.3"/>
    <s v="مؤكد"/>
    <s v="Masrawy (فبراير 2020) + Alghad.tv (يونيو 2020) — مؤكد من مصدرين"/>
  </r>
  <r>
    <x v="20"/>
    <n v="0.38"/>
    <s v="مؤكد"/>
    <s v="Alghad.tv (يونيو 2020)"/>
  </r>
  <r>
    <x v="21"/>
    <n v="0.48"/>
    <s v="مؤكد"/>
    <s v="Marefa/Almasryalyoum — مقارنة FY2021/22"/>
  </r>
  <r>
    <x v="22"/>
    <n v="0.57999999999999996"/>
    <s v="مؤكد"/>
    <s v="Marefa (تعريفة يوليو 2022)"/>
  </r>
  <r>
    <x v="23"/>
    <n v="0.68"/>
    <s v="مؤكد"/>
    <s v="Marefa (تعريفة يوليو 2023) — ثابت حتى أبريل 202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
  <r>
    <x v="0"/>
    <x v="0"/>
    <s v="DZA"/>
    <x v="0"/>
    <s v="Upper middle income"/>
    <n v="30903894"/>
    <n v="208554000000"/>
    <n v="25.4"/>
    <n v="25.33"/>
    <n v="819.63800000000003"/>
    <n v="-7.0000000000000007E-2"/>
    <n v="-0.27600000000000002"/>
    <n v="918.88599999999997"/>
    <n v="191.01300000000001"/>
    <n v="29733.675999999999"/>
    <n v="96.772000000000006"/>
    <n v="63.685000000000002"/>
    <n v="776.73299999999995"/>
    <n v="103.13200000000001"/>
    <n v="0.05"/>
    <n v="0.19700000000000001"/>
    <n v="25.35"/>
    <n v="99.802999999999997"/>
    <n v="9705.7559999999994"/>
    <n v="16.22"/>
    <n v="54790398570"/>
  </r>
  <r>
    <x v="0"/>
    <x v="1"/>
    <s v="DZA"/>
    <x v="0"/>
    <s v="Upper middle income"/>
    <n v="31331226"/>
    <n v="223420000000"/>
    <n v="26.62"/>
    <n v="26.57"/>
    <n v="848.03599999999994"/>
    <n v="-0.05"/>
    <n v="-0.188"/>
    <n v="864.72500000000002"/>
    <n v="197.322"/>
    <n v="27599.474999999999"/>
    <n v="96.843999999999994"/>
    <n v="63.488"/>
    <n v="764.68399999999997"/>
    <n v="106.77500000000001"/>
    <n v="7.0000000000000007E-2"/>
    <n v="0.26300000000000001"/>
    <n v="26.55"/>
    <n v="99.736999999999995"/>
    <n v="9920.2289999999994"/>
    <n v="16.989999999999998"/>
    <n v="59413400924"/>
  </r>
  <r>
    <x v="0"/>
    <x v="2"/>
    <s v="DZA"/>
    <x v="0"/>
    <s v="Upper middle income"/>
    <n v="31750832"/>
    <n v="245361000000"/>
    <n v="27.65"/>
    <n v="27.63"/>
    <n v="870.21299999999997"/>
    <n v="-0.02"/>
    <n v="-7.1999999999999995E-2"/>
    <n v="889.41600000000005"/>
    <n v="194.839"/>
    <n v="28012.365000000002"/>
    <n v="97.613"/>
    <n v="60.52"/>
    <n v="824.49699999999996"/>
    <n v="118.39700000000001"/>
    <n v="0.06"/>
    <n v="0.217"/>
    <n v="27.59"/>
    <n v="99.783000000000001"/>
    <n v="10139.906999999999"/>
    <n v="17.64"/>
    <n v="61516103406"/>
  </r>
  <r>
    <x v="0"/>
    <x v="3"/>
    <s v="DZA"/>
    <x v="0"/>
    <s v="Upper middle income"/>
    <n v="32175813"/>
    <n v="273569000000"/>
    <n v="29.57"/>
    <n v="29.58"/>
    <n v="919.32399999999996"/>
    <n v="0.01"/>
    <n v="3.4000000000000002E-2"/>
    <n v="938.57600000000002"/>
    <n v="205.93199999999999"/>
    <n v="29170.23"/>
    <n v="96.787000000000006"/>
    <n v="61.13"/>
    <n v="918.82799999999997"/>
    <n v="123.17400000000001"/>
    <n v="0.26"/>
    <n v="0.879"/>
    <n v="29.31"/>
    <n v="99.120999999999995"/>
    <n v="10471.285"/>
    <n v="18.75"/>
    <n v="73482264191"/>
  </r>
  <r>
    <x v="0"/>
    <x v="4"/>
    <s v="DZA"/>
    <x v="0"/>
    <s v="Upper middle income"/>
    <n v="32628286"/>
    <n v="296774000000"/>
    <n v="31.25"/>
    <n v="31.26"/>
    <n v="958.06399999999996"/>
    <n v="0.01"/>
    <n v="3.2000000000000001E-2"/>
    <n v="920.54899999999998"/>
    <n v="211.899"/>
    <n v="28213.23"/>
    <n v="96.992000000000004"/>
    <n v="60.588999999999999"/>
    <n v="971.69799999999998"/>
    <n v="128.74700000000001"/>
    <n v="0.25"/>
    <n v="0.8"/>
    <n v="31"/>
    <n v="99.2"/>
    <n v="10720.079"/>
    <n v="19.829999999999998"/>
    <n v="91913680985"/>
  </r>
  <r>
    <x v="0"/>
    <x v="5"/>
    <s v="DZA"/>
    <x v="0"/>
    <s v="Upper middle income"/>
    <n v="33109258"/>
    <n v="326854000000"/>
    <n v="33.909999999999997"/>
    <n v="33.99"/>
    <n v="1026.6010000000001"/>
    <n v="0.08"/>
    <n v="0.23499999999999999"/>
    <n v="849.11699999999996"/>
    <n v="223.56"/>
    <n v="25645.923999999999"/>
    <n v="96.254999999999995"/>
    <n v="61.052999999999997"/>
    <n v="1005.27"/>
    <n v="134.21299999999999"/>
    <n v="0.55000000000000004"/>
    <n v="1.6220000000000001"/>
    <n v="33.36"/>
    <n v="98.378"/>
    <n v="11062.512000000001"/>
    <n v="21.34"/>
    <n v="107047000000"/>
  </r>
  <r>
    <x v="0"/>
    <x v="6"/>
    <s v="DZA"/>
    <x v="0"/>
    <s v="Upper middle income"/>
    <n v="33623505"/>
    <n v="345705000000"/>
    <n v="35.229999999999997"/>
    <n v="35.31"/>
    <n v="1050.1579999999999"/>
    <n v="0.08"/>
    <n v="0.22700000000000001"/>
    <n v="812.995"/>
    <n v="228.49700000000001"/>
    <n v="24179.363000000001"/>
    <n v="97.247"/>
    <n v="60.261000000000003"/>
    <n v="1002.529"/>
    <n v="139.846"/>
    <n v="0.22"/>
    <n v="0.624"/>
    <n v="35.01"/>
    <n v="99.376000000000005"/>
    <n v="11278.422"/>
    <n v="22.4"/>
    <n v="123084000000"/>
  </r>
  <r>
    <x v="0"/>
    <x v="7"/>
    <s v="DZA"/>
    <x v="0"/>
    <s v="Upper middle income"/>
    <n v="34189420"/>
    <n v="371665000000"/>
    <n v="37.19"/>
    <n v="37.200000000000003"/>
    <n v="1088.056"/>
    <n v="0.01"/>
    <n v="2.7E-2"/>
    <n v="816.46"/>
    <n v="233.80699999999999"/>
    <n v="23880.482"/>
    <n v="97.284000000000006"/>
    <n v="58.51"/>
    <n v="1005.7859999999999"/>
    <n v="156.38999999999999"/>
    <n v="0.22"/>
    <n v="0.59199999999999997"/>
    <n v="36.97"/>
    <n v="99.408000000000001"/>
    <n v="11688.989"/>
    <n v="23.65"/>
    <n v="142483000000"/>
  </r>
  <r>
    <x v="0"/>
    <x v="8"/>
    <s v="DZA"/>
    <x v="0"/>
    <s v="Upper middle income"/>
    <n v="34816963"/>
    <n v="395659000000"/>
    <n v="40.229999999999997"/>
    <n v="40.18"/>
    <n v="1154.0350000000001"/>
    <n v="-0.05"/>
    <n v="-0.124"/>
    <n v="826.00800000000004"/>
    <n v="244.042"/>
    <n v="23724.294999999998"/>
    <n v="97.34"/>
    <n v="57.624000000000002"/>
    <n v="985.77099999999996"/>
    <n v="169.916"/>
    <n v="0.28000000000000003"/>
    <n v="0.69599999999999995"/>
    <n v="39.950000000000003"/>
    <n v="99.304000000000002"/>
    <n v="12165.245999999999"/>
    <n v="25.56"/>
    <n v="180384000000"/>
  </r>
  <r>
    <x v="0"/>
    <x v="9"/>
    <s v="DZA"/>
    <x v="0"/>
    <s v="Upper middle income"/>
    <n v="35490442"/>
    <n v="418248000000"/>
    <n v="38.5"/>
    <n v="38.47"/>
    <n v="1083.954"/>
    <n v="-0.03"/>
    <n v="-7.8E-2"/>
    <n v="765.66899999999998"/>
    <n v="262.11799999999999"/>
    <n v="21573.942999999999"/>
    <n v="97.635999999999996"/>
    <n v="58.404000000000003"/>
    <n v="898.23099999999999"/>
    <n v="180.13399999999999"/>
    <n v="0.3"/>
    <n v="0.77900000000000003"/>
    <n v="38.200000000000003"/>
    <n v="99.221000000000004"/>
    <n v="12647.33"/>
    <n v="24.43"/>
    <n v="150317000000"/>
  </r>
  <r>
    <x v="0"/>
    <x v="10"/>
    <s v="DZA"/>
    <x v="0"/>
    <s v="Upper middle income"/>
    <n v="36188237"/>
    <n v="450706000000"/>
    <n v="45.73"/>
    <n v="45.66"/>
    <n v="1261.7360000000001"/>
    <n v="-7.0000000000000007E-2"/>
    <n v="-0.153"/>
    <n v="773.96600000000001"/>
    <n v="253.27199999999999"/>
    <n v="21387.213"/>
    <n v="97.528999999999996"/>
    <n v="57.698"/>
    <n v="858.00300000000004"/>
    <n v="181.61199999999999"/>
    <n v="0.17"/>
    <n v="0.372"/>
    <n v="45.56"/>
    <n v="99.628"/>
    <n v="12130.873"/>
    <n v="29.13"/>
    <n v="177785000000"/>
  </r>
  <r>
    <x v="0"/>
    <x v="11"/>
    <s v="DZA"/>
    <x v="0"/>
    <s v="Upper middle income"/>
    <n v="36903374"/>
    <n v="482029000000"/>
    <n v="51.22"/>
    <n v="51.08"/>
    <n v="1384.155"/>
    <n v="-0.14000000000000001"/>
    <n v="-0.27400000000000002"/>
    <n v="795.98699999999997"/>
    <n v="267.97000000000003"/>
    <n v="21569.504000000001"/>
    <n v="96.935000000000002"/>
    <n v="57.7"/>
    <n v="833.58"/>
    <n v="192.22800000000001"/>
    <n v="0.5"/>
    <n v="0.97599999999999998"/>
    <n v="50.72"/>
    <n v="99.024000000000001"/>
    <n v="12586.607"/>
    <n v="32.44"/>
    <n v="218332000000"/>
  </r>
  <r>
    <x v="0"/>
    <x v="12"/>
    <s v="DZA"/>
    <x v="0"/>
    <s v="Upper middle income"/>
    <n v="37646165"/>
    <n v="498418000000"/>
    <n v="57.4"/>
    <n v="57.35"/>
    <n v="1523.396"/>
    <n v="-0.05"/>
    <n v="-8.6999999999999994E-2"/>
    <n v="784.43799999999999"/>
    <n v="298.74099999999999"/>
    <n v="20837.115000000002"/>
    <n v="97.072999999999993"/>
    <n v="58.853000000000002"/>
    <n v="781.67600000000004"/>
    <n v="204.39500000000001"/>
    <n v="0.62"/>
    <n v="1.08"/>
    <n v="56.78"/>
    <n v="98.92"/>
    <n v="13485.353999999999"/>
    <n v="36.32"/>
    <n v="227144000000"/>
  </r>
  <r>
    <x v="0"/>
    <x v="13"/>
    <s v="DZA"/>
    <x v="0"/>
    <s v="Upper middle income"/>
    <n v="38414176"/>
    <n v="512373000000"/>
    <n v="59.89"/>
    <n v="59.8"/>
    <n v="1556.7170000000001"/>
    <n v="-0.09"/>
    <n v="-0.151"/>
    <n v="793.38900000000001"/>
    <n v="321.21499999999997"/>
    <n v="20653.541000000001"/>
    <n v="97.945999999999998"/>
    <n v="59.822000000000003"/>
    <n v="753.43799999999999"/>
    <n v="213.57599999999999"/>
    <n v="0.33"/>
    <n v="0.55100000000000005"/>
    <n v="59.56"/>
    <n v="99.448999999999998"/>
    <n v="13978.61"/>
    <n v="38.090000000000003"/>
    <n v="229701000000"/>
  </r>
  <r>
    <x v="0"/>
    <x v="14"/>
    <s v="DZA"/>
    <x v="0"/>
    <s v="Upper middle income"/>
    <n v="39205035"/>
    <n v="531844000000"/>
    <n v="64.27"/>
    <n v="64.08"/>
    <n v="1634.4839999999999"/>
    <n v="-0.19"/>
    <n v="-0.29699999999999999"/>
    <n v="801.72400000000005"/>
    <n v="360.91800000000001"/>
    <n v="20449.516"/>
    <n v="98.569000000000003"/>
    <n v="61.634999999999998"/>
    <n v="799.80700000000002"/>
    <n v="221.92500000000001"/>
    <n v="0.25"/>
    <n v="0.38900000000000001"/>
    <n v="64.02"/>
    <n v="99.611000000000004"/>
    <n v="14937.195"/>
    <n v="40.94"/>
    <n v="238943000000"/>
  </r>
  <r>
    <x v="0"/>
    <x v="15"/>
    <s v="DZA"/>
    <x v="0"/>
    <s v="Upper middle income"/>
    <n v="40019528"/>
    <n v="551522000000"/>
    <n v="68.84"/>
    <n v="68.81"/>
    <n v="1719.4110000000001"/>
    <n v="-0.03"/>
    <n v="-4.3999999999999997E-2"/>
    <n v="814.11099999999999"/>
    <n v="379.22500000000002"/>
    <n v="20342.853999999999"/>
    <n v="98.3"/>
    <n v="61.414999999999999"/>
    <n v="781.827"/>
    <n v="236.148"/>
    <n v="0.22"/>
    <n v="0.32"/>
    <n v="68.62"/>
    <n v="99.68"/>
    <n v="15430.422"/>
    <n v="43.88"/>
    <n v="187494000000"/>
  </r>
  <r>
    <x v="0"/>
    <x v="16"/>
    <s v="DZA"/>
    <x v="0"/>
    <s v="Upper middle income"/>
    <n v="40850719"/>
    <n v="569170000000"/>
    <n v="71.040000000000006"/>
    <n v="70.790000000000006"/>
    <n v="1732.895"/>
    <n v="-0.25"/>
    <n v="-0.35299999999999998"/>
    <n v="913.923"/>
    <n v="385.96199999999999"/>
    <n v="22372.254000000001"/>
    <n v="98.1"/>
    <n v="62.561"/>
    <n v="795.69"/>
    <n v="229.56399999999999"/>
    <n v="0.34"/>
    <n v="0.47899999999999998"/>
    <n v="70.7"/>
    <n v="99.521000000000001"/>
    <n v="15103.672"/>
    <n v="45.21"/>
    <n v="180764000000"/>
  </r>
  <r>
    <x v="0"/>
    <x v="17"/>
    <s v="DZA"/>
    <x v="0"/>
    <s v="Upper middle income"/>
    <n v="41689302"/>
    <n v="577139000000"/>
    <n v="76.069999999999993"/>
    <n v="75.73"/>
    <n v="1816.5329999999999"/>
    <n v="-0.34"/>
    <n v="-0.44900000000000001"/>
    <n v="929.76499999999999"/>
    <n v="394.625"/>
    <n v="22302.254000000001"/>
    <n v="98.671999999999997"/>
    <n v="63.271000000000001"/>
    <n v="775.11599999999999"/>
    <n v="225.512"/>
    <n v="0.64"/>
    <n v="0.84099999999999997"/>
    <n v="75.430000000000007"/>
    <n v="99.159000000000006"/>
    <n v="14962.942999999999"/>
    <n v="48.24"/>
    <n v="189881000000"/>
  </r>
  <r>
    <x v="0"/>
    <x v="18"/>
    <s v="DZA"/>
    <x v="0"/>
    <s v="Upper middle income"/>
    <n v="42505033"/>
    <n v="584064000000"/>
    <n v="76.75"/>
    <n v="76.66"/>
    <n v="1803.5509999999999"/>
    <n v="-0.09"/>
    <n v="-0.11700000000000001"/>
    <n v="938.43799999999999"/>
    <n v="434.08800000000002"/>
    <n v="22078.268"/>
    <n v="98.370999999999995"/>
    <n v="64.837000000000003"/>
    <n v="759.81100000000004"/>
    <n v="227.786"/>
    <n v="0.82"/>
    <n v="1.0680000000000001"/>
    <n v="75.930000000000007"/>
    <n v="98.932000000000002"/>
    <n v="15753.894"/>
    <n v="48.56"/>
    <n v="194554000000"/>
  </r>
  <r>
    <x v="0"/>
    <x v="19"/>
    <s v="DZA"/>
    <x v="0"/>
    <s v="Upper middle income"/>
    <n v="43294551"/>
    <n v="589905000000"/>
    <n v="81.61"/>
    <n v="81.47"/>
    <n v="1881.761"/>
    <n v="-0.14000000000000001"/>
    <n v="-0.17199999999999999"/>
    <n v="869.52300000000002"/>
    <n v="450.54599999999999"/>
    <n v="20083.879000000001"/>
    <n v="98.468000000000004"/>
    <n v="64.899000000000001"/>
    <n v="748.15800000000002"/>
    <n v="236.95099999999999"/>
    <n v="0.87"/>
    <n v="1.0660000000000001"/>
    <n v="80.739999999999995"/>
    <n v="98.933999999999997"/>
    <n v="16037.789000000001"/>
    <n v="51.64"/>
    <n v="193460000000"/>
  </r>
  <r>
    <x v="0"/>
    <x v="20"/>
    <s v="DZA"/>
    <x v="0"/>
    <s v="Upper middle income"/>
    <n v="44042094"/>
    <n v="559820000000"/>
    <n v="79.37"/>
    <n v="79.31"/>
    <n v="1800.777"/>
    <n v="-0.06"/>
    <n v="-7.5999999999999998E-2"/>
    <n v="814.24599999999998"/>
    <n v="433.5"/>
    <n v="18487.907999999999"/>
    <n v="98.438000000000002"/>
    <n v="66.817999999999998"/>
    <n v="670.17899999999997"/>
    <n v="211.92500000000001"/>
    <n v="0.88"/>
    <n v="1.109"/>
    <n v="78.489999999999995"/>
    <n v="98.891000000000005"/>
    <n v="14733.603999999999"/>
    <n v="50.21"/>
    <n v="164873000000"/>
  </r>
  <r>
    <x v="0"/>
    <x v="21"/>
    <s v="DZA"/>
    <x v="0"/>
    <s v="Upper middle income"/>
    <n v="44761099"/>
    <n v="578854000000"/>
    <n v="85.6"/>
    <n v="84.45"/>
    <n v="1886.683"/>
    <n v="-1.1499999999999999"/>
    <n v="-1.3620000000000001"/>
    <n v="1010.981"/>
    <n v="481.529"/>
    <n v="22586.155999999999"/>
    <n v="98.620999999999995"/>
    <n v="68.058999999999997"/>
    <n v="676.86599999999999"/>
    <n v="221.20400000000001"/>
    <n v="0.81"/>
    <n v="0.94599999999999995"/>
    <n v="84.79"/>
    <n v="99.054000000000002"/>
    <n v="15808.98"/>
    <n v="54.23"/>
    <n v="186231000000"/>
  </r>
  <r>
    <x v="0"/>
    <x v="22"/>
    <s v="DZA"/>
    <x v="0"/>
    <s v="Upper middle income"/>
    <n v="45477391"/>
    <n v="595820000000"/>
    <n v="91.47"/>
    <n v="88.9"/>
    <n v="1954.818"/>
    <n v="-2.57"/>
    <n v="-2.891"/>
    <n v="976.32100000000003"/>
    <n v="503.387"/>
    <n v="21468.282999999999"/>
    <n v="98.632999999999996"/>
    <n v="68.567999999999998"/>
    <n v="721.82799999999997"/>
    <n v="226.91"/>
    <n v="0.86"/>
    <n v="0.94"/>
    <n v="90.61"/>
    <n v="99.06"/>
    <n v="16145.337"/>
    <n v="57.96"/>
    <n v="225582000000"/>
  </r>
  <r>
    <x v="0"/>
    <x v="23"/>
    <s v="DZA"/>
    <x v="0"/>
    <s v="Upper middle income"/>
    <n v="46164222"/>
    <n v="755752000000"/>
    <n v="95.88"/>
    <n v="93.44"/>
    <n v="2024.078"/>
    <n v="-2.44"/>
    <n v="-2.6110000000000002"/>
    <n v="1015.264"/>
    <n v="542.33000000000004"/>
    <n v="21992.449000000001"/>
    <n v="98.706999999999994"/>
    <n v="69.138000000000005"/>
    <n v="732.76"/>
    <n v="238.203"/>
    <n v="0.91"/>
    <n v="0.94899999999999995"/>
    <n v="94.97"/>
    <n v="99.051000000000002"/>
    <n v="16994.377"/>
    <n v="60.75"/>
    <n v="247924000000"/>
  </r>
  <r>
    <x v="1"/>
    <x v="0"/>
    <s v="EGY"/>
    <x v="0"/>
    <s v="Lower middle income"/>
    <n v="73083287"/>
    <n v="444250000000"/>
    <n v="73.319999999999993"/>
    <n v="73.17"/>
    <n v="1001.186"/>
    <n v="-0.15"/>
    <n v="-0.20499999999999999"/>
    <n v="202.125"/>
    <n v="192.5"/>
    <n v="2765.68"/>
    <n v="57.542000000000002"/>
    <n v="34.012"/>
    <n v="452.60500000000002"/>
    <n v="323.75900000000001"/>
    <n v="14.26"/>
    <n v="19.449000000000002"/>
    <n v="59.06"/>
    <n v="80.551000000000002"/>
    <n v="7779.2539999999999"/>
    <n v="38.54"/>
    <n v="99838543960"/>
  </r>
  <r>
    <x v="1"/>
    <x v="1"/>
    <s v="EGY"/>
    <x v="0"/>
    <s v="Lower middle income"/>
    <n v="74652035"/>
    <n v="475679000000"/>
    <n v="80.709999999999994"/>
    <n v="80.5"/>
    <n v="1078.336"/>
    <n v="-0.21"/>
    <n v="-0.26100000000000001"/>
    <n v="242.55"/>
    <n v="235.81200000000001"/>
    <n v="3249.0740000000001"/>
    <n v="60.055"/>
    <n v="39.917000000000002"/>
    <n v="437.28899999999999"/>
    <n v="305.73399999999998"/>
    <n v="14.59"/>
    <n v="18.077000000000002"/>
    <n v="66.12"/>
    <n v="81.923000000000002"/>
    <n v="7947.7250000000004"/>
    <n v="43.08"/>
    <n v="96684636119"/>
  </r>
  <r>
    <x v="1"/>
    <x v="2"/>
    <s v="EGY"/>
    <x v="0"/>
    <s v="Lower middle income"/>
    <n v="76239140"/>
    <n v="501912000000"/>
    <n v="86.23"/>
    <n v="85.45"/>
    <n v="1120.8150000000001"/>
    <n v="-0.78"/>
    <n v="-0.91300000000000003"/>
    <n v="262.76299999999998"/>
    <n v="255.06200000000001"/>
    <n v="3446.5569999999998"/>
    <n v="66.623999999999995"/>
    <n v="41.972000000000001"/>
    <n v="433.108"/>
    <n v="304.16800000000001"/>
    <n v="14.2"/>
    <n v="16.468"/>
    <n v="72.03"/>
    <n v="83.531999999999996"/>
    <n v="8004.3379999999997"/>
    <n v="46.82"/>
    <n v="85146067416"/>
  </r>
  <r>
    <x v="1"/>
    <x v="3"/>
    <s v="EGY"/>
    <x v="0"/>
    <s v="Lower middle income"/>
    <n v="77853548"/>
    <n v="528750000000"/>
    <n v="92.19"/>
    <n v="91.27"/>
    <n v="1172.329"/>
    <n v="-0.92"/>
    <n v="-1.008"/>
    <n v="289.71300000000002"/>
    <n v="285.86200000000002"/>
    <n v="3721.25"/>
    <n v="69.444000000000003"/>
    <n v="44.411000000000001"/>
    <n v="431.15300000000002"/>
    <n v="311.87799999999999"/>
    <n v="13.23"/>
    <n v="14.351000000000001"/>
    <n v="78.959999999999994"/>
    <n v="85.649000000000001"/>
    <n v="8297.5229999999992"/>
    <n v="51.26"/>
    <n v="80288461538"/>
  </r>
  <r>
    <x v="1"/>
    <x v="4"/>
    <s v="EGY"/>
    <x v="0"/>
    <s v="Lower middle income"/>
    <n v="79477441"/>
    <n v="561598000000"/>
    <n v="98.25"/>
    <n v="97.55"/>
    <n v="1227.3920000000001"/>
    <n v="-0.7"/>
    <n v="-0.71799999999999997"/>
    <n v="317.625"/>
    <n v="305.11200000000002"/>
    <n v="3996.4169999999999"/>
    <n v="75.775999999999996"/>
    <n v="44.884999999999998"/>
    <n v="405.197"/>
    <n v="328.39800000000002"/>
    <n v="13.33"/>
    <n v="13.567"/>
    <n v="84.92"/>
    <n v="86.433000000000007"/>
    <n v="8581.7289999999994"/>
    <n v="55.01"/>
    <n v="78782467532"/>
  </r>
  <r>
    <x v="1"/>
    <x v="5"/>
    <s v="EGY"/>
    <x v="0"/>
    <s v="Lower middle income"/>
    <n v="81101012"/>
    <n v="600297000000"/>
    <n v="104.94"/>
    <n v="104.16"/>
    <n v="1284.3240000000001"/>
    <n v="-0.78"/>
    <n v="-0.749"/>
    <n v="409.06200000000001"/>
    <n v="304.14999999999998"/>
    <n v="5043.8639999999996"/>
    <n v="73.174999999999997"/>
    <n v="43.63"/>
    <n v="385.73599999999999"/>
    <n v="347.70400000000001"/>
    <n v="13.15"/>
    <n v="12.531000000000001"/>
    <n v="91.79"/>
    <n v="87.468999999999994"/>
    <n v="8624.0190000000002"/>
    <n v="59.5"/>
    <n v="89660339660"/>
  </r>
  <r>
    <x v="1"/>
    <x v="6"/>
    <s v="EGY"/>
    <x v="0"/>
    <s v="Lower middle income"/>
    <n v="82700404"/>
    <n v="650404000000"/>
    <n v="111.66"/>
    <n v="111.31"/>
    <n v="1345.943"/>
    <n v="-0.35"/>
    <n v="-0.314"/>
    <n v="526.48699999999997"/>
    <n v="351.31200000000001"/>
    <n v="6366.2020000000002"/>
    <n v="74.387"/>
    <n v="47.84"/>
    <n v="385.67099999999999"/>
    <n v="337.33100000000002"/>
    <n v="13.39"/>
    <n v="11.992000000000001"/>
    <n v="98.27"/>
    <n v="88.007999999999996"/>
    <n v="8907.3850000000002"/>
    <n v="63.67"/>
    <n v="107426000000"/>
  </r>
  <r>
    <x v="1"/>
    <x v="7"/>
    <s v="EGY"/>
    <x v="0"/>
    <s v="Lower middle income"/>
    <n v="84276224"/>
    <n v="713462000000"/>
    <n v="119.86"/>
    <n v="119.3"/>
    <n v="1415.5830000000001"/>
    <n v="-0.56000000000000005"/>
    <n v="-0.46899999999999997"/>
    <n v="536.01599999999996"/>
    <n v="369.21499999999997"/>
    <n v="6360.2309999999998"/>
    <n v="74.427999999999997"/>
    <n v="47.209000000000003"/>
    <n v="393.21"/>
    <n v="364.28699999999998"/>
    <n v="14.88"/>
    <n v="12.414"/>
    <n v="104.98"/>
    <n v="87.585999999999999"/>
    <n v="9309.6170000000002"/>
    <n v="68.03"/>
    <n v="130438000000"/>
  </r>
  <r>
    <x v="1"/>
    <x v="8"/>
    <s v="EGY"/>
    <x v="0"/>
    <s v="Lower middle income"/>
    <n v="85864791"/>
    <n v="775304000000"/>
    <n v="128.80000000000001"/>
    <n v="127.9"/>
    <n v="1489.5509999999999"/>
    <n v="-0.9"/>
    <n v="-0.70399999999999996"/>
    <n v="567.58600000000001"/>
    <n v="393.08499999999998"/>
    <n v="6610.232"/>
    <n v="73.649000000000001"/>
    <n v="47.411999999999999"/>
    <n v="403.03"/>
    <n v="385.61700000000002"/>
    <n v="16.03"/>
    <n v="12.446"/>
    <n v="112.77"/>
    <n v="87.554000000000002"/>
    <n v="9687.7690000000002"/>
    <n v="73.08"/>
    <n v="162818000000"/>
  </r>
  <r>
    <x v="1"/>
    <x v="9"/>
    <s v="EGY"/>
    <x v="0"/>
    <s v="Lower middle income"/>
    <n v="87501635"/>
    <n v="831415000000"/>
    <n v="134.27000000000001"/>
    <n v="133.33000000000001"/>
    <n v="1523.7429999999999"/>
    <n v="-0.94"/>
    <n v="-0.70499999999999996"/>
    <n v="603.39099999999996"/>
    <n v="409.447"/>
    <n v="6895.7709999999997"/>
    <n v="73.537999999999997"/>
    <n v="47.655000000000001"/>
    <n v="410.07400000000001"/>
    <n v="403.661"/>
    <n v="14.81"/>
    <n v="11.03"/>
    <n v="119.46"/>
    <n v="88.97"/>
    <n v="9847.4879999999994"/>
    <n v="77.400000000000006"/>
    <n v="189147000000"/>
  </r>
  <r>
    <x v="1"/>
    <x v="10"/>
    <s v="EGY"/>
    <x v="0"/>
    <s v="Lower middle income"/>
    <n v="89196073"/>
    <n v="898751000000"/>
    <n v="144.43"/>
    <n v="142.99"/>
    <n v="1603.098"/>
    <n v="-1.44"/>
    <n v="-1.0069999999999999"/>
    <n v="590.20500000000004"/>
    <n v="434.18400000000003"/>
    <n v="6616.9390000000003"/>
    <n v="76.230999999999995"/>
    <n v="48.64"/>
    <n v="407.399"/>
    <n v="415.59399999999999"/>
    <n v="14.39"/>
    <n v="9.9629999999999992"/>
    <n v="130.04"/>
    <n v="90.037000000000006"/>
    <n v="10035.326999999999"/>
    <n v="84.16"/>
    <n v="218984000000"/>
  </r>
  <r>
    <x v="1"/>
    <x v="11"/>
    <s v="EGY"/>
    <x v="0"/>
    <s v="Lower middle income"/>
    <n v="91093066"/>
    <n v="923053000000"/>
    <n v="149.56"/>
    <n v="147.97999999999999"/>
    <n v="1624.492"/>
    <n v="-1.58"/>
    <n v="-1.0680000000000001"/>
    <n v="591.43299999999999"/>
    <n v="477.59300000000002"/>
    <n v="6492.6220000000003"/>
    <n v="78.537000000000006"/>
    <n v="50.856000000000002"/>
    <n v="402.38600000000002"/>
    <n v="418.22199999999998"/>
    <n v="14.72"/>
    <n v="9.8420000000000005"/>
    <n v="134.84"/>
    <n v="90.158000000000001"/>
    <n v="10336.393"/>
    <n v="87.22"/>
    <n v="235990000000"/>
  </r>
  <r>
    <x v="1"/>
    <x v="12"/>
    <s v="EGY"/>
    <x v="0"/>
    <s v="Lower middle income"/>
    <n v="93161000"/>
    <n v="950287000000"/>
    <n v="162.84"/>
    <n v="162.44"/>
    <n v="1743.6479999999999"/>
    <n v="-0.4"/>
    <n v="-0.246"/>
    <n v="585.98199999999997"/>
    <n v="506.37099999999998"/>
    <n v="6289.991"/>
    <n v="77.72"/>
    <n v="51.805"/>
    <n v="403.86399999999998"/>
    <n v="428.22500000000002"/>
    <n v="14.87"/>
    <n v="9.1319999999999997"/>
    <n v="147.97"/>
    <n v="90.867999999999995"/>
    <n v="10518.4"/>
    <n v="95.73"/>
    <n v="279117000000"/>
  </r>
  <r>
    <x v="1"/>
    <x v="13"/>
    <s v="EGY"/>
    <x v="0"/>
    <s v="Lower middle income"/>
    <n v="95333551"/>
    <n v="984557000000"/>
    <n v="165.08"/>
    <n v="164.68"/>
    <n v="1727.4090000000001"/>
    <n v="-0.4"/>
    <n v="-0.24299999999999999"/>
    <n v="539.64800000000002"/>
    <n v="495.01400000000001"/>
    <n v="5660.634"/>
    <n v="74.611999999999995"/>
    <n v="50.991"/>
    <n v="399.61900000000003"/>
    <n v="433.327"/>
    <n v="14.85"/>
    <n v="8.9960000000000004"/>
    <n v="150.22999999999999"/>
    <n v="91.004000000000005"/>
    <n v="10209.089"/>
    <n v="97.26"/>
    <n v="288434000000"/>
  </r>
  <r>
    <x v="1"/>
    <x v="14"/>
    <s v="EGY"/>
    <x v="0"/>
    <s v="Lower middle income"/>
    <n v="97528655"/>
    <n v="1035720000000"/>
    <n v="171.24"/>
    <n v="170.56"/>
    <n v="1748.819"/>
    <n v="-0.68"/>
    <n v="-0.39900000000000002"/>
    <n v="469.61099999999999"/>
    <n v="462.18799999999999"/>
    <n v="4815.1030000000001"/>
    <n v="72.787000000000006"/>
    <n v="48.167000000000002"/>
    <n v="408.68099999999998"/>
    <n v="455.28800000000001"/>
    <n v="14.76"/>
    <n v="8.6189999999999998"/>
    <n v="156.47999999999999"/>
    <n v="91.381"/>
    <n v="9863.4770000000008"/>
    <n v="101.35"/>
    <n v="305595000000"/>
  </r>
  <r>
    <x v="1"/>
    <x v="15"/>
    <s v="EGY"/>
    <x v="0"/>
    <s v="Lower middle income"/>
    <n v="99597334"/>
    <n v="1079610000000"/>
    <n v="181.83"/>
    <n v="181.14"/>
    <n v="1818.723"/>
    <n v="-0.69"/>
    <n v="-0.38100000000000001"/>
    <n v="425.90600000000001"/>
    <n v="460.18799999999999"/>
    <n v="4276.2820000000002"/>
    <n v="71.391000000000005"/>
    <n v="47.267000000000003"/>
    <n v="412.06299999999999"/>
    <n v="464.53699999999998"/>
    <n v="15.61"/>
    <n v="8.5850000000000009"/>
    <n v="166.22"/>
    <n v="91.415000000000006"/>
    <n v="9800.5439999999999"/>
    <n v="107.69"/>
    <n v="329367000000"/>
  </r>
  <r>
    <x v="1"/>
    <x v="16"/>
    <s v="EGY"/>
    <x v="0"/>
    <s v="Lower middle income"/>
    <n v="101644583"/>
    <n v="1121580000000"/>
    <n v="188.19"/>
    <n v="187.92"/>
    <n v="1848.7950000000001"/>
    <n v="-0.27"/>
    <n v="-0.14399999999999999"/>
    <n v="402.517"/>
    <n v="493.541"/>
    <n v="3960.049"/>
    <n v="73.58"/>
    <n v="48.026000000000003"/>
    <n v="393.50099999999998"/>
    <n v="480.178"/>
    <n v="15.83"/>
    <n v="8.4120000000000008"/>
    <n v="172.36"/>
    <n v="91.587999999999994"/>
    <n v="10135.914000000001"/>
    <n v="111.59"/>
    <n v="332442000000"/>
  </r>
  <r>
    <x v="1"/>
    <x v="17"/>
    <s v="EGY"/>
    <x v="0"/>
    <s v="Lower middle income"/>
    <n v="103696055"/>
    <n v="1158060000000"/>
    <n v="193.21"/>
    <n v="192.87"/>
    <n v="1859.9549999999999"/>
    <n v="-0.34"/>
    <n v="-0.17599999999999999"/>
    <n v="488.113"/>
    <n v="559.32799999999997"/>
    <n v="4707.1480000000001"/>
    <n v="78.635000000000005"/>
    <n v="52.359000000000002"/>
    <n v="374.23"/>
    <n v="456.21600000000001"/>
    <n v="15.5"/>
    <n v="8.0220000000000002"/>
    <n v="177.71"/>
    <n v="91.977999999999994"/>
    <n v="10325.806"/>
    <n v="114.9"/>
    <n v="248363000000"/>
  </r>
  <r>
    <x v="1"/>
    <x v="18"/>
    <s v="EGY"/>
    <x v="0"/>
    <s v="Lower middle income"/>
    <n v="105682092"/>
    <n v="1220660000000"/>
    <n v="199.39"/>
    <n v="198.82"/>
    <n v="1881.3030000000001"/>
    <n v="-0.56999999999999995"/>
    <n v="-0.28699999999999998"/>
    <n v="585.59"/>
    <n v="595.95299999999997"/>
    <n v="5541.0529999999999"/>
    <n v="83.846000000000004"/>
    <n v="55.762"/>
    <n v="381.976"/>
    <n v="406.44499999999999"/>
    <n v="16.46"/>
    <n v="8.2550000000000008"/>
    <n v="182.93"/>
    <n v="91.745000000000005"/>
    <n v="10137.438"/>
    <n v="118.12"/>
    <n v="262589000000"/>
  </r>
  <r>
    <x v="1"/>
    <x v="19"/>
    <s v="EGY"/>
    <x v="0"/>
    <s v="Lower middle income"/>
    <n v="107553159"/>
    <n v="1289250000000"/>
    <n v="200.57"/>
    <n v="199.78"/>
    <n v="1857.5"/>
    <n v="-0.79"/>
    <n v="-0.39500000000000002"/>
    <n v="649.38800000000003"/>
    <n v="590.38699999999994"/>
    <n v="6037.8280000000004"/>
    <n v="85.665999999999997"/>
    <n v="56.472999999999999"/>
    <n v="369.97399999999999"/>
    <n v="383.61399999999998"/>
    <n v="19.59"/>
    <n v="9.7669999999999995"/>
    <n v="180.98"/>
    <n v="90.233000000000004"/>
    <n v="9749.4060000000009"/>
    <n v="116.83"/>
    <n v="318679000000"/>
  </r>
  <r>
    <x v="1"/>
    <x v="20"/>
    <s v="EGY"/>
    <x v="0"/>
    <s v="Lower middle income"/>
    <n v="109315118"/>
    <n v="1307780000000"/>
    <n v="198.6"/>
    <n v="197.18"/>
    <n v="1803.7760000000001"/>
    <n v="-1.42"/>
    <n v="-0.72"/>
    <n v="584.65200000000004"/>
    <n v="583.07899999999995"/>
    <n v="5348.3149999999996"/>
    <n v="84.018000000000001"/>
    <n v="59.305999999999997"/>
    <n v="361.30200000000002"/>
    <n v="332.68"/>
    <n v="23.76"/>
    <n v="11.964"/>
    <n v="174.84"/>
    <n v="88.036000000000001"/>
    <n v="9028.0720000000001"/>
    <n v="113.02"/>
    <n v="383818000000"/>
  </r>
  <r>
    <x v="1"/>
    <x v="21"/>
    <s v="EGY"/>
    <x v="0"/>
    <s v="Lower middle income"/>
    <n v="110957005"/>
    <n v="1400990000000"/>
    <n v="209.66"/>
    <n v="208.19"/>
    <n v="1876.3119999999999"/>
    <n v="-1.47"/>
    <n v="-0.70599999999999996"/>
    <n v="677.99400000000003"/>
    <n v="621.24800000000005"/>
    <n v="6110.424"/>
    <n v="85.590999999999994"/>
    <n v="58.753"/>
    <n v="344.26400000000001"/>
    <n v="359.56700000000001"/>
    <n v="25.36"/>
    <n v="12.096"/>
    <n v="184.3"/>
    <n v="87.903999999999996"/>
    <n v="9564.884"/>
    <n v="119.1"/>
    <n v="424672000000"/>
  </r>
  <r>
    <x v="1"/>
    <x v="22"/>
    <s v="EGY"/>
    <x v="0"/>
    <s v="Lower middle income"/>
    <n v="112618252"/>
    <n v="1460430000000"/>
    <n v="216.72"/>
    <n v="215.15"/>
    <n v="1910.4359999999999"/>
    <n v="-1.57"/>
    <n v="-0.73"/>
    <n v="644.88199999999995"/>
    <n v="605.90899999999999"/>
    <n v="5726.2640000000001"/>
    <n v="84.472999999999999"/>
    <n v="54.768999999999998"/>
    <n v="349.39299999999997"/>
    <n v="425.22899999999998"/>
    <n v="25.61"/>
    <n v="11.817"/>
    <n v="191.11"/>
    <n v="88.183000000000007"/>
    <n v="9857.5789999999997"/>
    <n v="123.54"/>
    <n v="476748000000"/>
  </r>
  <r>
    <x v="1"/>
    <x v="23"/>
    <s v="EGY"/>
    <x v="0"/>
    <s v="Lower middle income"/>
    <n v="114535772"/>
    <n v="1289340000000"/>
    <n v="221.92"/>
    <n v="220.53"/>
    <n v="1925.425"/>
    <n v="-1.39"/>
    <n v="-0.63"/>
    <n v="571.00400000000002"/>
    <n v="600.39"/>
    <n v="4985.3770000000004"/>
    <n v="80.825999999999993"/>
    <n v="55.003999999999998"/>
    <n v="345.46"/>
    <n v="414.18"/>
    <n v="25.97"/>
    <n v="11.702"/>
    <n v="195.95"/>
    <n v="88.298000000000002"/>
    <n v="9566.1540000000005"/>
    <n v="126.78"/>
    <n v="395926000000"/>
  </r>
  <r>
    <x v="2"/>
    <x v="0"/>
    <s v="ETH"/>
    <x v="1"/>
    <s v="Low income"/>
    <n v="67411496"/>
    <n v="50326965912"/>
    <n v="1.69"/>
    <n v="1.69"/>
    <n v="25.07"/>
    <n v="0"/>
    <n v="0"/>
    <n v="0"/>
    <n v="0"/>
    <n v="0"/>
    <n v="0"/>
    <n v="0"/>
    <n v="0"/>
    <n v="46.54"/>
    <n v="1.67"/>
    <n v="98.816999999999993"/>
    <n v="0.02"/>
    <n v="1.1830000000000001"/>
    <n v="237.98"/>
    <n v="0.06"/>
    <n v="8242349618"/>
  </r>
  <r>
    <x v="2"/>
    <x v="1"/>
    <s v="ETH"/>
    <x v="1"/>
    <s v="Low income"/>
    <n v="69487767"/>
    <n v="52434129516"/>
    <n v="2.04"/>
    <n v="2.04"/>
    <n v="29.358000000000001"/>
    <n v="0"/>
    <n v="0"/>
    <n v="0"/>
    <n v="0"/>
    <n v="0"/>
    <n v="0"/>
    <n v="0"/>
    <n v="0"/>
    <n v="47.972999999999999"/>
    <n v="2.02"/>
    <n v="99.02"/>
    <n v="0.02"/>
    <n v="0.98"/>
    <n v="244.971"/>
    <n v="7.0000000000000007E-2"/>
    <n v="8231326016"/>
  </r>
  <r>
    <x v="2"/>
    <x v="2"/>
    <s v="ETH"/>
    <x v="1"/>
    <s v="Low income"/>
    <n v="71635521"/>
    <n v="54501781462"/>
    <n v="2.06"/>
    <n v="2.06"/>
    <n v="28.757000000000001"/>
    <n v="0"/>
    <n v="0"/>
    <n v="0"/>
    <n v="0"/>
    <n v="0"/>
    <n v="0"/>
    <n v="0"/>
    <n v="0"/>
    <n v="49.456000000000003"/>
    <n v="2.04"/>
    <n v="99.028999999999996"/>
    <n v="0.02"/>
    <n v="0.97099999999999997"/>
    <n v="246.018"/>
    <n v="7.0000000000000007E-2"/>
    <n v="7850809498"/>
  </r>
  <r>
    <x v="2"/>
    <x v="3"/>
    <s v="ETH"/>
    <x v="1"/>
    <s v="Low income"/>
    <n v="73832664"/>
    <n v="53892038989"/>
    <n v="2.33"/>
    <n v="2.33"/>
    <n v="31.558"/>
    <n v="0"/>
    <n v="0"/>
    <n v="0"/>
    <n v="0"/>
    <n v="0"/>
    <n v="0"/>
    <n v="0"/>
    <n v="0"/>
    <n v="50.972999999999999"/>
    <n v="2.31"/>
    <n v="99.141999999999996"/>
    <n v="0.02"/>
    <n v="0.85799999999999998"/>
    <n v="256.37200000000001"/>
    <n v="7.0000000000000007E-2"/>
    <n v="8623691300"/>
  </r>
  <r>
    <x v="2"/>
    <x v="4"/>
    <s v="ETH"/>
    <x v="1"/>
    <s v="Low income"/>
    <n v="76077211"/>
    <n v="55845384136"/>
    <n v="2.57"/>
    <n v="2.57"/>
    <n v="33.780999999999999"/>
    <n v="0"/>
    <n v="0"/>
    <n v="0"/>
    <n v="0"/>
    <n v="0"/>
    <n v="0"/>
    <n v="0"/>
    <n v="0"/>
    <n v="52.523000000000003"/>
    <n v="2.5499999999999998"/>
    <n v="99.221999999999994"/>
    <n v="0.02"/>
    <n v="0.77800000000000002"/>
    <n v="264.85300000000001"/>
    <n v="0.08"/>
    <n v="10131187261"/>
  </r>
  <r>
    <x v="2"/>
    <x v="5"/>
    <s v="ETH"/>
    <x v="1"/>
    <s v="Low income"/>
    <n v="78367476"/>
    <n v="61634778962"/>
    <n v="2.88"/>
    <n v="2.88"/>
    <n v="36.75"/>
    <n v="0"/>
    <n v="0"/>
    <n v="0"/>
    <n v="0"/>
    <n v="0"/>
    <n v="0"/>
    <n v="0"/>
    <n v="0"/>
    <n v="54.103999999999999"/>
    <n v="2.87"/>
    <n v="99.653000000000006"/>
    <n v="0.01"/>
    <n v="0.34699999999999998"/>
    <n v="297.26499999999999"/>
    <n v="0.09"/>
    <n v="12401139454"/>
  </r>
  <r>
    <x v="2"/>
    <x v="6"/>
    <s v="ETH"/>
    <x v="1"/>
    <s v="Low income"/>
    <n v="80703495"/>
    <n v="67217118145"/>
    <n v="3.31"/>
    <n v="3.31"/>
    <n v="41.014000000000003"/>
    <n v="0"/>
    <n v="0"/>
    <n v="0"/>
    <n v="0"/>
    <n v="0"/>
    <n v="0"/>
    <n v="0"/>
    <n v="0"/>
    <n v="55.716000000000001"/>
    <n v="3.29"/>
    <n v="99.396000000000001"/>
    <n v="0.02"/>
    <n v="0.60399999999999998"/>
    <n v="313.911"/>
    <n v="0.1"/>
    <n v="15280861835"/>
  </r>
  <r>
    <x v="2"/>
    <x v="7"/>
    <s v="ETH"/>
    <x v="1"/>
    <s v="Low income"/>
    <n v="83103218"/>
    <n v="73421784125"/>
    <n v="3.43"/>
    <n v="3.43"/>
    <n v="41.274000000000001"/>
    <n v="0"/>
    <n v="0"/>
    <n v="0"/>
    <n v="0"/>
    <n v="0"/>
    <n v="0"/>
    <n v="0"/>
    <n v="0"/>
    <n v="57.372999999999998"/>
    <n v="3.39"/>
    <n v="98.834000000000003"/>
    <n v="0.04"/>
    <n v="1.1659999999999999"/>
    <n v="342.71199999999999"/>
    <n v="0.12"/>
    <n v="19707616773"/>
  </r>
  <r>
    <x v="2"/>
    <x v="8"/>
    <s v="ETH"/>
    <x v="1"/>
    <s v="Low income"/>
    <n v="85543670"/>
    <n v="79756503135"/>
    <n v="3.33"/>
    <n v="3.33"/>
    <n v="38.927"/>
    <n v="0"/>
    <n v="0"/>
    <n v="0"/>
    <n v="0"/>
    <n v="0"/>
    <n v="0"/>
    <n v="0"/>
    <n v="0"/>
    <n v="59.058"/>
    <n v="3.32"/>
    <n v="99.7"/>
    <n v="0.01"/>
    <n v="0.3"/>
    <n v="353.99900000000002"/>
    <n v="0.1"/>
    <n v="27066912635"/>
  </r>
  <r>
    <x v="2"/>
    <x v="9"/>
    <s v="ETH"/>
    <x v="1"/>
    <s v="Low income"/>
    <n v="88007641"/>
    <n v="86391027022"/>
    <n v="3.62"/>
    <n v="3.62"/>
    <n v="41.133000000000003"/>
    <n v="0"/>
    <n v="0"/>
    <n v="0"/>
    <n v="0"/>
    <n v="0"/>
    <n v="0"/>
    <n v="0"/>
    <n v="0"/>
    <n v="60.759"/>
    <n v="3.56"/>
    <n v="98.343000000000004"/>
    <n v="0.06"/>
    <n v="1.657"/>
    <n v="354.18799999999999"/>
    <n v="0.13"/>
    <n v="32437389116"/>
  </r>
  <r>
    <x v="2"/>
    <x v="10"/>
    <s v="ETH"/>
    <x v="1"/>
    <s v="Low income"/>
    <n v="90538518"/>
    <n v="94148625646"/>
    <n v="5.01"/>
    <n v="5.01"/>
    <n v="55.335999999999999"/>
    <n v="0"/>
    <n v="0"/>
    <n v="0"/>
    <n v="0"/>
    <n v="0"/>
    <n v="0"/>
    <n v="0"/>
    <n v="0"/>
    <n v="62.506"/>
    <n v="4.96"/>
    <n v="99.001999999999995"/>
    <n v="0.05"/>
    <n v="0.998"/>
    <n v="360.90600000000001"/>
    <n v="0.16"/>
    <n v="29933790334"/>
  </r>
  <r>
    <x v="2"/>
    <x v="11"/>
    <s v="ETH"/>
    <x v="1"/>
    <s v="Low income"/>
    <n v="93149977"/>
    <n v="104949000000"/>
    <n v="6.34"/>
    <n v="6.01"/>
    <n v="64.52"/>
    <n v="-0.33"/>
    <n v="-5.4909999999999997"/>
    <n v="0"/>
    <n v="0"/>
    <n v="0"/>
    <n v="0"/>
    <n v="0"/>
    <n v="0"/>
    <n v="64.308999999999997"/>
    <n v="6.29"/>
    <n v="99.210999999999999"/>
    <n v="0.05"/>
    <n v="0.78900000000000003"/>
    <n v="383.19499999999999"/>
    <n v="0.19"/>
    <n v="31952763089"/>
  </r>
  <r>
    <x v="2"/>
    <x v="12"/>
    <s v="ETH"/>
    <x v="1"/>
    <s v="Low income"/>
    <n v="95798771"/>
    <n v="116345000000"/>
    <n v="7.57"/>
    <n v="7.01"/>
    <n v="73.174000000000007"/>
    <n v="-0.56000000000000005"/>
    <n v="-7.9889999999999999"/>
    <n v="0"/>
    <n v="0"/>
    <n v="0"/>
    <n v="0"/>
    <n v="0"/>
    <n v="0"/>
    <n v="66.138000000000005"/>
    <n v="7.55"/>
    <n v="99.736000000000004"/>
    <n v="0.02"/>
    <n v="0.26400000000000001"/>
    <n v="408.92"/>
    <n v="0.19"/>
    <n v="43310721414"/>
  </r>
  <r>
    <x v="2"/>
    <x v="13"/>
    <s v="ETH"/>
    <x v="1"/>
    <s v="Low income"/>
    <n v="98438752"/>
    <n v="128310000000"/>
    <n v="8.67"/>
    <n v="8.0299999999999994"/>
    <n v="81.573999999999998"/>
    <n v="-0.64"/>
    <n v="-7.97"/>
    <n v="0"/>
    <n v="0"/>
    <n v="0"/>
    <n v="0"/>
    <n v="0"/>
    <n v="0"/>
    <n v="67.960999999999999"/>
    <n v="8.66"/>
    <n v="99.885000000000005"/>
    <n v="0.01"/>
    <n v="0.115"/>
    <n v="466.46699999999998"/>
    <n v="0.22"/>
    <n v="47648276605"/>
  </r>
  <r>
    <x v="2"/>
    <x v="14"/>
    <s v="ETH"/>
    <x v="1"/>
    <s v="Low income"/>
    <n v="101115615"/>
    <n v="141951000000"/>
    <n v="9.4700000000000006"/>
    <n v="8.7100000000000009"/>
    <n v="86.138999999999996"/>
    <n v="-0.76"/>
    <n v="-8.7260000000000009"/>
    <n v="0"/>
    <n v="0"/>
    <n v="0"/>
    <n v="0"/>
    <n v="0"/>
    <n v="0"/>
    <n v="69.808999999999997"/>
    <n v="9.4700000000000006"/>
    <n v="100"/>
    <n v="0"/>
    <n v="0"/>
    <n v="521.37699999999995"/>
    <n v="0.22"/>
    <n v="55612228234"/>
  </r>
  <r>
    <x v="2"/>
    <x v="15"/>
    <s v="ETH"/>
    <x v="1"/>
    <s v="Low income"/>
    <n v="103867140"/>
    <n v="157107000000"/>
    <n v="10.39"/>
    <n v="9.69"/>
    <n v="93.292000000000002"/>
    <n v="-0.7"/>
    <n v="-7.2240000000000002"/>
    <n v="0"/>
    <n v="0"/>
    <n v="0"/>
    <n v="0"/>
    <n v="0"/>
    <n v="0"/>
    <n v="71.707999999999998"/>
    <n v="10.39"/>
    <n v="100"/>
    <n v="0"/>
    <n v="0"/>
    <n v="533.245"/>
    <n v="0.25"/>
    <n v="62103418182"/>
  </r>
  <r>
    <x v="2"/>
    <x v="16"/>
    <s v="ETH"/>
    <x v="1"/>
    <s v="Low income"/>
    <n v="106718163"/>
    <n v="173709000000"/>
    <n v="12.47"/>
    <n v="11.17"/>
    <n v="104.66800000000001"/>
    <n v="-1.3"/>
    <n v="-11.638"/>
    <n v="0"/>
    <n v="0"/>
    <n v="0"/>
    <n v="0"/>
    <n v="0"/>
    <n v="0"/>
    <n v="73.677000000000007"/>
    <n v="12.47"/>
    <n v="100"/>
    <n v="0"/>
    <n v="0"/>
    <n v="597.66800000000001"/>
    <n v="0.3"/>
    <n v="68475871210"/>
  </r>
  <r>
    <x v="2"/>
    <x v="17"/>
    <s v="ETH"/>
    <x v="1"/>
    <s v="Low income"/>
    <n v="109666482"/>
    <n v="190762000000"/>
    <n v="13.12"/>
    <n v="11.69"/>
    <n v="106.596"/>
    <n v="-1.43"/>
    <n v="-12.233000000000001"/>
    <n v="0"/>
    <n v="0"/>
    <n v="0"/>
    <n v="0"/>
    <n v="0"/>
    <n v="0"/>
    <n v="75.712000000000003"/>
    <n v="13.12"/>
    <n v="100"/>
    <n v="0"/>
    <n v="0"/>
    <n v="581.11"/>
    <n v="0.31"/>
    <n v="76366081767"/>
  </r>
  <r>
    <x v="2"/>
    <x v="18"/>
    <s v="ETH"/>
    <x v="1"/>
    <s v="Low income"/>
    <n v="112664157"/>
    <n v="206206000000"/>
    <n v="14.23"/>
    <n v="13.23"/>
    <n v="117.429"/>
    <n v="-1"/>
    <n v="-7.5590000000000002"/>
    <n v="0"/>
    <n v="0"/>
    <n v="0"/>
    <n v="0"/>
    <n v="0"/>
    <n v="0"/>
    <n v="77.781999999999996"/>
    <n v="14.23"/>
    <n v="100"/>
    <n v="0"/>
    <n v="0"/>
    <n v="614.36800000000005"/>
    <n v="0.34"/>
    <n v="83337901072"/>
  </r>
  <r>
    <x v="2"/>
    <x v="19"/>
    <s v="ETH"/>
    <x v="1"/>
    <s v="Low income"/>
    <n v="115737384"/>
    <n v="221885000000"/>
    <n v="15.31"/>
    <n v="14.17"/>
    <n v="122.432"/>
    <n v="-1.1399999999999999"/>
    <n v="-8.0449999999999999"/>
    <n v="0"/>
    <n v="0"/>
    <n v="0"/>
    <n v="0"/>
    <n v="0"/>
    <n v="0"/>
    <n v="79.903000000000006"/>
    <n v="15.3"/>
    <n v="99.935000000000002"/>
    <n v="0.01"/>
    <n v="6.5000000000000002E-2"/>
    <n v="688.22699999999998"/>
    <n v="0.37"/>
    <n v="91834517114"/>
  </r>
  <r>
    <x v="2"/>
    <x v="20"/>
    <s v="ETH"/>
    <x v="1"/>
    <s v="Low income"/>
    <n v="118917670"/>
    <n v="237860000000"/>
    <n v="15.62"/>
    <n v="13.98"/>
    <n v="117.56"/>
    <n v="-1.64"/>
    <n v="-11.731"/>
    <n v="0"/>
    <n v="0"/>
    <n v="0"/>
    <n v="0"/>
    <n v="0"/>
    <n v="0"/>
    <n v="82.099000000000004"/>
    <n v="15.61"/>
    <n v="99.936000000000007"/>
    <n v="0.01"/>
    <n v="6.4000000000000001E-2"/>
    <n v="576.79300000000001"/>
    <n v="0.38"/>
    <n v="98676811062"/>
  </r>
  <r>
    <x v="2"/>
    <x v="21"/>
    <s v="ETH"/>
    <x v="1"/>
    <s v="Low income"/>
    <n v="122138588"/>
    <n v="251850000000"/>
    <n v="15.78"/>
    <n v="14.12"/>
    <n v="115.60599999999999"/>
    <n v="-1.66"/>
    <n v="-11.756"/>
    <n v="0"/>
    <n v="0"/>
    <n v="0"/>
    <n v="0"/>
    <n v="0"/>
    <n v="0"/>
    <n v="84.322999999999993"/>
    <n v="15.78"/>
    <n v="100"/>
    <n v="0"/>
    <n v="0"/>
    <n v="585.11800000000005"/>
    <n v="0.36"/>
    <n v="109071000000"/>
  </r>
  <r>
    <x v="2"/>
    <x v="22"/>
    <s v="ETH"/>
    <x v="1"/>
    <s v="Low income"/>
    <n v="125384285"/>
    <n v="269977000000"/>
    <n v="17.41"/>
    <n v="15.66"/>
    <n v="124.896"/>
    <n v="-1.75"/>
    <n v="-11.175000000000001"/>
    <n v="0"/>
    <n v="0"/>
    <n v="0"/>
    <n v="0"/>
    <n v="0"/>
    <n v="0"/>
    <n v="86.563000000000002"/>
    <n v="17.41"/>
    <n v="100"/>
    <n v="0"/>
    <n v="0"/>
    <n v="642.37800000000004"/>
    <n v="0.41"/>
    <n v="123140000000"/>
  </r>
  <r>
    <x v="2"/>
    <x v="23"/>
    <s v="ETH"/>
    <x v="1"/>
    <s v="Low income"/>
    <n v="128691695"/>
    <n v="313053000000"/>
    <n v="17.77"/>
    <n v="15.99"/>
    <n v="124.25"/>
    <n v="-1.78"/>
    <n v="-11.132"/>
    <n v="0"/>
    <n v="0"/>
    <n v="0"/>
    <n v="0"/>
    <n v="0"/>
    <n v="0"/>
    <n v="88.846999999999994"/>
    <n v="17.77"/>
    <n v="100"/>
    <n v="0"/>
    <n v="0"/>
    <n v="693.36099999999999"/>
    <n v="0.42"/>
    <n v="135874000000"/>
  </r>
  <r>
    <x v="3"/>
    <x v="0"/>
    <s v="IRN"/>
    <x v="0"/>
    <s v="Upper middle income"/>
    <n v="66418661"/>
    <n v="595555000000"/>
    <n v="119.35"/>
    <n v="118.67"/>
    <n v="1786.6969999999999"/>
    <n v="-0.68"/>
    <n v="-0.57299999999999995"/>
    <n v="563.36599999999999"/>
    <n v="594.40899999999999"/>
    <n v="8482.0450000000001"/>
    <n v="68.337000000000003"/>
    <n v="42.582999999999998"/>
    <n v="2229.067"/>
    <n v="775.71100000000001"/>
    <n v="3.82"/>
    <n v="3.2010000000000001"/>
    <n v="115.53"/>
    <n v="96.799000000000007"/>
    <n v="21026.74"/>
    <n v="79.66"/>
    <n v="109592000000"/>
  </r>
  <r>
    <x v="3"/>
    <x v="1"/>
    <s v="IRN"/>
    <x v="0"/>
    <s v="Upper middle income"/>
    <n v="67452005"/>
    <n v="636570000000"/>
    <n v="127.59"/>
    <n v="127.29"/>
    <n v="1887.12"/>
    <n v="-0.3"/>
    <n v="-0.23599999999999999"/>
    <n v="626.05200000000002"/>
    <n v="665.327"/>
    <n v="9281.4490000000005"/>
    <n v="70.147000000000006"/>
    <n v="44.610999999999997"/>
    <n v="2207.4319999999998"/>
    <n v="799.74400000000003"/>
    <n v="4.1500000000000004"/>
    <n v="3.2530000000000001"/>
    <n v="123.44"/>
    <n v="96.747"/>
    <n v="22121.530999999999"/>
    <n v="85.2"/>
    <n v="126879000000"/>
  </r>
  <r>
    <x v="3"/>
    <x v="2"/>
    <s v="IRN"/>
    <x v="0"/>
    <s v="Upper middle income"/>
    <n v="68011318"/>
    <n v="698060000000"/>
    <n v="138.22999999999999"/>
    <n v="138.41"/>
    <n v="2035.1030000000001"/>
    <n v="0.18"/>
    <n v="0.13"/>
    <n v="744.471"/>
    <n v="782.20299999999997"/>
    <n v="10946.287"/>
    <n v="70.924999999999997"/>
    <n v="48.137999999999998"/>
    <n v="2083.1979999999999"/>
    <n v="806.60900000000004"/>
    <n v="8.0399999999999991"/>
    <n v="5.8159999999999998"/>
    <n v="130.19"/>
    <n v="94.183999999999997"/>
    <n v="23913.190999999999"/>
    <n v="90.1"/>
    <n v="128627000000"/>
  </r>
  <r>
    <x v="3"/>
    <x v="3"/>
    <s v="IRN"/>
    <x v="0"/>
    <s v="Upper middle income"/>
    <n v="68769343"/>
    <n v="779970000000"/>
    <n v="151.65"/>
    <n v="152.22"/>
    <n v="2213.4859999999999"/>
    <n v="0.56999999999999995"/>
    <n v="0.374"/>
    <n v="780.87599999999998"/>
    <n v="802.76700000000005"/>
    <n v="11355.004999999999"/>
    <n v="72.436999999999998"/>
    <n v="48.52"/>
    <n v="2350.3040000000001"/>
    <n v="810.28399999999999"/>
    <n v="9.6199999999999992"/>
    <n v="6.3440000000000003"/>
    <n v="142.03"/>
    <n v="93.656000000000006"/>
    <n v="24083.326000000001"/>
    <n v="98.42"/>
    <n v="151911000000"/>
  </r>
  <r>
    <x v="3"/>
    <x v="4"/>
    <s v="IRN"/>
    <x v="0"/>
    <s v="Upper middle income"/>
    <n v="70256316"/>
    <n v="849442000000"/>
    <n v="162.76"/>
    <n v="163.09"/>
    <n v="2321.357"/>
    <n v="0.33"/>
    <n v="0.20200000000000001"/>
    <n v="910.40099999999995"/>
    <n v="932.56"/>
    <n v="12958.284"/>
    <n v="70.417000000000002"/>
    <n v="50.962000000000003"/>
    <n v="2428.7240000000002"/>
    <n v="848.90599999999995"/>
    <n v="11.98"/>
    <n v="7.3609999999999998"/>
    <n v="150.78"/>
    <n v="92.638999999999996"/>
    <n v="26075.348000000002"/>
    <n v="104.42"/>
    <n v="187755000000"/>
  </r>
  <r>
    <x v="3"/>
    <x v="5"/>
    <s v="IRN"/>
    <x v="0"/>
    <s v="Upper middle income"/>
    <n v="71828455"/>
    <n v="908856000000"/>
    <n v="177.07"/>
    <n v="176.39"/>
    <n v="2455.712"/>
    <n v="-0.68"/>
    <n v="-0.38600000000000001"/>
    <n v="966.125"/>
    <n v="970.46900000000005"/>
    <n v="13450.453"/>
    <n v="70.355999999999995"/>
    <n v="50.082000000000001"/>
    <n v="2417.5410000000002"/>
    <n v="910.154"/>
    <n v="14.52"/>
    <n v="8.1999999999999993"/>
    <n v="162.55000000000001"/>
    <n v="91.8"/>
    <n v="27012.971000000001"/>
    <n v="112.67"/>
    <n v="224970000000"/>
  </r>
  <r>
    <x v="3"/>
    <x v="6"/>
    <s v="IRN"/>
    <x v="0"/>
    <s v="Upper middle income"/>
    <n v="73392747"/>
    <n v="995245000000"/>
    <n v="193.43"/>
    <n v="193.2"/>
    <n v="2632.413"/>
    <n v="-0.23"/>
    <n v="-0.11899999999999999"/>
    <n v="1052.7729999999999"/>
    <n v="1057.8399999999999"/>
    <n v="14344.37"/>
    <n v="64.685000000000002"/>
    <n v="49.966999999999999"/>
    <n v="2449.5309999999999"/>
    <n v="991.93399999999997"/>
    <n v="18.64"/>
    <n v="9.6370000000000005"/>
    <n v="174.79"/>
    <n v="90.363"/>
    <n v="28889.373"/>
    <n v="120.84"/>
    <n v="265602000000"/>
  </r>
  <r>
    <x v="3"/>
    <x v="7"/>
    <s v="IRN"/>
    <x v="0"/>
    <s v="Upper middle income"/>
    <n v="74602648"/>
    <n v="1098780000000"/>
    <n v="203.12"/>
    <n v="202.44"/>
    <n v="2713.5770000000002"/>
    <n v="-0.68"/>
    <n v="-0.33600000000000002"/>
    <n v="1180.144"/>
    <n v="1185.5219999999999"/>
    <n v="15819.066999999999"/>
    <n v="68.308999999999997"/>
    <n v="52.667999999999999"/>
    <n v="2480.1640000000002"/>
    <n v="999.07399999999996"/>
    <n v="18.100000000000001"/>
    <n v="8.9109999999999996"/>
    <n v="185.02"/>
    <n v="91.088999999999999"/>
    <n v="30213.291000000001"/>
    <n v="128.13999999999999"/>
    <n v="349737000000"/>
  </r>
  <r>
    <x v="3"/>
    <x v="8"/>
    <s v="IRN"/>
    <x v="0"/>
    <s v="Upper middle income"/>
    <n v="75514201"/>
    <n v="1132370000000"/>
    <n v="210.49"/>
    <n v="208.3"/>
    <n v="2758.422"/>
    <n v="-2.19"/>
    <n v="-1.0509999999999999"/>
    <n v="1235.674"/>
    <n v="1257.867"/>
    <n v="16363.468000000001"/>
    <n v="64.165000000000006"/>
    <n v="54.17"/>
    <n v="2505.3980000000001"/>
    <n v="1029.7059999999999"/>
    <n v="7.64"/>
    <n v="3.63"/>
    <n v="202.85"/>
    <n v="96.37"/>
    <n v="30767.291000000001"/>
    <n v="139.41999999999999"/>
    <n v="406071000000"/>
  </r>
  <r>
    <x v="3"/>
    <x v="9"/>
    <s v="IRN"/>
    <x v="0"/>
    <s v="Upper middle income"/>
    <n v="76457831"/>
    <n v="1208130000000"/>
    <n v="221.81"/>
    <n v="217.73"/>
    <n v="2847.7130000000002"/>
    <n v="-4.08"/>
    <n v="-1.8740000000000001"/>
    <n v="1357.356"/>
    <n v="1347.944"/>
    <n v="17753.002"/>
    <n v="67.358999999999995"/>
    <n v="56.680999999999997"/>
    <n v="2409.96"/>
    <n v="1002.677"/>
    <n v="6.95"/>
    <n v="3.133"/>
    <n v="214.86"/>
    <n v="96.867000000000004"/>
    <n v="31118.98"/>
    <n v="147.91"/>
    <n v="414059000000"/>
  </r>
  <r>
    <x v="3"/>
    <x v="10"/>
    <s v="IRN"/>
    <x v="0"/>
    <s v="Upper middle income"/>
    <n v="77420851"/>
    <n v="1310510000000"/>
    <n v="235.68"/>
    <n v="231.99"/>
    <n v="2996.48"/>
    <n v="-3.69"/>
    <n v="-1.591"/>
    <n v="1439.1020000000001"/>
    <n v="1443.894"/>
    <n v="18588.035"/>
    <n v="73.765000000000001"/>
    <n v="58.776000000000003"/>
    <n v="2465.9380000000001"/>
    <n v="972.17600000000004"/>
    <n v="10.43"/>
    <n v="4.4249999999999998"/>
    <n v="225.25"/>
    <n v="95.575000000000003"/>
    <n v="31753.627"/>
    <n v="155.84"/>
    <n v="487070000000"/>
  </r>
  <r>
    <x v="3"/>
    <x v="11"/>
    <s v="IRN"/>
    <x v="0"/>
    <s v="Upper middle income"/>
    <n v="78383602"/>
    <n v="1345050000000"/>
    <n v="235.59"/>
    <n v="230.58"/>
    <n v="2941.6869999999999"/>
    <n v="-5.01"/>
    <n v="-2.173"/>
    <n v="1509.8630000000001"/>
    <n v="1531.9259999999999"/>
    <n v="19262.48"/>
    <n v="60.414000000000001"/>
    <n v="60.021999999999998"/>
    <n v="2471.7040000000002"/>
    <n v="978.04399999999998"/>
    <n v="10.91"/>
    <n v="4.6310000000000002"/>
    <n v="224.57"/>
    <n v="95.322000000000003"/>
    <n v="32584.848000000002"/>
    <n v="154.09"/>
    <n v="629082000000"/>
  </r>
  <r>
    <x v="3"/>
    <x v="12"/>
    <s v="IRN"/>
    <x v="0"/>
    <s v="Upper middle income"/>
    <n v="79370583"/>
    <n v="1324570000000"/>
    <n v="248.74"/>
    <n v="241.61"/>
    <n v="3044.0749999999998"/>
    <n v="-7.13"/>
    <n v="-2.9510000000000001"/>
    <n v="1569.3579999999999"/>
    <n v="1525.4549999999999"/>
    <n v="19772.532999999999"/>
    <n v="62.856999999999999"/>
    <n v="59.317999999999998"/>
    <n v="2098.9679999999998"/>
    <n v="998.78099999999995"/>
    <n v="12.8"/>
    <n v="5.1459999999999999"/>
    <n v="234.49"/>
    <n v="94.271000000000001"/>
    <n v="32428.09"/>
    <n v="161.27000000000001"/>
    <n v="644019000000"/>
  </r>
  <r>
    <x v="3"/>
    <x v="13"/>
    <s v="IRN"/>
    <x v="0"/>
    <s v="Upper middle income"/>
    <n v="80414689"/>
    <n v="1287100000000"/>
    <n v="258.86"/>
    <n v="250.98"/>
    <n v="3121.0720000000001"/>
    <n v="-7.88"/>
    <n v="-3.14"/>
    <n v="1575.2809999999999"/>
    <n v="1538.345"/>
    <n v="19589.463"/>
    <n v="53.191000000000003"/>
    <n v="57.582999999999998"/>
    <n v="1973.2860000000001"/>
    <n v="1075.3910000000001"/>
    <n v="14.86"/>
    <n v="5.7409999999999997"/>
    <n v="239.74"/>
    <n v="92.614000000000004"/>
    <n v="33255.663999999997"/>
    <n v="164.02"/>
    <n v="500400000000"/>
  </r>
  <r>
    <x v="3"/>
    <x v="14"/>
    <s v="IRN"/>
    <x v="0"/>
    <s v="Upper middle income"/>
    <n v="81502045"/>
    <n v="1352740000000"/>
    <n v="275.63"/>
    <n v="269.74"/>
    <n v="3309.61"/>
    <n v="-5.89"/>
    <n v="-2.1840000000000002"/>
    <n v="1754.5060000000001"/>
    <n v="1734.009"/>
    <n v="21527.141"/>
    <n v="69.659000000000006"/>
    <n v="62.274999999999999"/>
    <n v="2024.1610000000001"/>
    <n v="991.93799999999999"/>
    <n v="14.75"/>
    <n v="5.351"/>
    <n v="256.81"/>
    <n v="93.171999999999997"/>
    <n v="34196.25"/>
    <n v="177.54"/>
    <n v="462285000000"/>
  </r>
  <r>
    <x v="3"/>
    <x v="15"/>
    <s v="IRN"/>
    <x v="0"/>
    <s v="Upper middle income"/>
    <n v="82619365"/>
    <n v="1331010000000"/>
    <n v="280.24"/>
    <n v="277.57"/>
    <n v="3359.6239999999998"/>
    <n v="-2.67"/>
    <n v="-0.96199999999999997"/>
    <n v="1835.479"/>
    <n v="1840.1949999999999"/>
    <n v="22216.085999999999"/>
    <n v="73.725999999999999"/>
    <n v="66.66"/>
    <n v="2096.2249999999999"/>
    <n v="864.85699999999997"/>
    <n v="13.41"/>
    <n v="4.7850000000000001"/>
    <n v="263.33"/>
    <n v="93.965999999999994"/>
    <n v="33441.343999999997"/>
    <n v="182.39"/>
    <n v="409192000000"/>
  </r>
  <r>
    <x v="3"/>
    <x v="16"/>
    <s v="IRN"/>
    <x v="0"/>
    <s v="Upper middle income"/>
    <n v="83812230"/>
    <n v="1413720000000"/>
    <n v="286.14"/>
    <n v="283.67"/>
    <n v="3384.59"/>
    <n v="-2.4700000000000002"/>
    <n v="-0.871"/>
    <n v="1993.4190000000001"/>
    <n v="1963.191"/>
    <n v="23784.348000000002"/>
    <n v="78.745000000000005"/>
    <n v="67.290000000000006"/>
    <n v="2513.7600000000002"/>
    <n v="888.29"/>
    <n v="15.6"/>
    <n v="5.452"/>
    <n v="264.07"/>
    <n v="92.287000000000006"/>
    <n v="34845.237999999998"/>
    <n v="183.74"/>
    <n v="478618000000"/>
  </r>
  <r>
    <x v="3"/>
    <x v="17"/>
    <s v="IRN"/>
    <x v="0"/>
    <s v="Upper middle income"/>
    <n v="85026761"/>
    <n v="1486670000000"/>
    <n v="305.17"/>
    <n v="300.85000000000002"/>
    <n v="3538.2979999999998"/>
    <n v="-4.32"/>
    <n v="-1.4359999999999999"/>
    <n v="2138.5010000000002"/>
    <n v="2050.04"/>
    <n v="25150.914000000001"/>
    <n v="82.741"/>
    <n v="67.870999999999995"/>
    <n v="2727.6990000000001"/>
    <n v="896.90599999999995"/>
    <n v="17.66"/>
    <n v="5.7869999999999999"/>
    <n v="280.55"/>
    <n v="91.932000000000002"/>
    <n v="35561.832000000002"/>
    <n v="195.82"/>
    <n v="510240000000"/>
  </r>
  <r>
    <x v="3"/>
    <x v="18"/>
    <s v="IRN"/>
    <x v="0"/>
    <s v="Upper middle income"/>
    <n v="86117999"/>
    <n v="1483610000000"/>
    <n v="312.35000000000002"/>
    <n v="308.64"/>
    <n v="3583.92"/>
    <n v="-3.71"/>
    <n v="-1.202"/>
    <n v="2201.252"/>
    <n v="2126.4340000000002"/>
    <n v="25560.879000000001"/>
    <n v="85.254000000000005"/>
    <n v="68.158000000000001"/>
    <n v="2598.6669999999999"/>
    <n v="933.49900000000002"/>
    <n v="10.83"/>
    <n v="3.4670000000000001"/>
    <n v="294.63"/>
    <n v="94.326999999999998"/>
    <n v="36251.887000000002"/>
    <n v="205.49"/>
    <n v="411903000000"/>
  </r>
  <r>
    <x v="3"/>
    <x v="19"/>
    <s v="IRN"/>
    <x v="0"/>
    <s v="Upper middle income"/>
    <n v="87051649"/>
    <n v="1438750000000"/>
    <n v="318.88"/>
    <n v="312.02"/>
    <n v="3584.3090000000002"/>
    <n v="-6.86"/>
    <n v="-2.1989999999999998"/>
    <n v="2283.14"/>
    <n v="2183.8960000000002"/>
    <n v="26227.414000000001"/>
    <n v="76.677999999999997"/>
    <n v="66.356999999999999"/>
    <n v="1877.85"/>
    <n v="985.50800000000004"/>
    <n v="35.11"/>
    <n v="11.01"/>
    <n v="277.36"/>
    <n v="86.978999999999999"/>
    <n v="37875.233999999997"/>
    <n v="193.82"/>
    <n v="347988000000"/>
  </r>
  <r>
    <x v="3"/>
    <x v="20"/>
    <s v="IRN"/>
    <x v="0"/>
    <s v="Upper middle income"/>
    <n v="87723448"/>
    <n v="1446200000000"/>
    <n v="337.21"/>
    <n v="330.41"/>
    <n v="3766.4960000000001"/>
    <n v="-6.8"/>
    <n v="-2.0579999999999998"/>
    <n v="2357.7550000000001"/>
    <n v="2367.6729999999998"/>
    <n v="26877.136999999999"/>
    <n v="79.543999999999997"/>
    <n v="69.287999999999997"/>
    <n v="1713.8789999999999"/>
    <n v="950.84299999999996"/>
    <n v="24.93"/>
    <n v="7.3929999999999998"/>
    <n v="305.95"/>
    <n v="90.73"/>
    <n v="39001.836000000003"/>
    <n v="213.39"/>
    <n v="280934000000"/>
  </r>
  <r>
    <x v="3"/>
    <x v="21"/>
    <s v="IRN"/>
    <x v="0"/>
    <s v="Upper middle income"/>
    <n v="88455490"/>
    <n v="1525520000000"/>
    <n v="356.41"/>
    <n v="349.61"/>
    <n v="3952.3829999999998"/>
    <n v="-6.8"/>
    <n v="-1.9450000000000001"/>
    <n v="2428.4879999999998"/>
    <n v="2295.3139999999999"/>
    <n v="27454.351999999999"/>
    <n v="84.784000000000006"/>
    <n v="68.052999999999997"/>
    <n v="1968.38"/>
    <n v="1010.115"/>
    <n v="15.6"/>
    <n v="4.3769999999999998"/>
    <n v="337.27"/>
    <n v="94.63"/>
    <n v="38159.269999999997"/>
    <n v="235.17"/>
    <n v="407351000000"/>
  </r>
  <r>
    <x v="3"/>
    <x v="22"/>
    <s v="IRN"/>
    <x v="0"/>
    <s v="Upper middle income"/>
    <n v="89524247"/>
    <n v="1572210000000"/>
    <n v="367.06"/>
    <n v="360.61"/>
    <n v="4028.0709999999999"/>
    <n v="-6.45"/>
    <n v="-1.7889999999999999"/>
    <n v="2477.058"/>
    <n v="2394.0129999999999"/>
    <n v="27669.129000000001"/>
    <n v="85.387"/>
    <n v="68.646000000000001"/>
    <n v="2073.6559999999999"/>
    <n v="1017.021"/>
    <n v="15.77"/>
    <n v="4.2960000000000003"/>
    <n v="344.72"/>
    <n v="93.914000000000001"/>
    <n v="38985.188000000002"/>
    <n v="240.56"/>
    <n v="422662000000"/>
  </r>
  <r>
    <x v="3"/>
    <x v="23"/>
    <s v="IRN"/>
    <x v="0"/>
    <s v="Upper middle income"/>
    <n v="90608708"/>
    <n v="1923470000000"/>
    <n v="382.02"/>
    <n v="375.29"/>
    <n v="4141.875"/>
    <n v="-6.73"/>
    <n v="-1.7929999999999999"/>
    <n v="2597.375"/>
    <n v="2465.8330000000001"/>
    <n v="28665.844000000001"/>
    <n v="84.278000000000006"/>
    <n v="68.650999999999996"/>
    <n v="2455.5619999999999"/>
    <n v="1031.422"/>
    <n v="24.73"/>
    <n v="6.4729999999999999"/>
    <n v="350.65"/>
    <n v="91.787999999999997"/>
    <n v="39688.281000000003"/>
    <n v="245.02"/>
    <n v="457510000000"/>
  </r>
  <r>
    <x v="4"/>
    <x v="0"/>
    <s v="IRQ"/>
    <x v="0"/>
    <s v="Upper middle income"/>
    <n v="24424060"/>
    <n v="83019213791"/>
    <n v="31.9"/>
    <n v="31.9"/>
    <n v="1306.0889999999999"/>
    <n v="0"/>
    <n v="0"/>
    <n v="29.925000000000001"/>
    <n v="29.925000000000001"/>
    <n v="1225.2260000000001"/>
    <n v="18.777000000000001"/>
    <n v="9.2919999999999998"/>
    <n v="1497.8920000000001"/>
    <n v="283.23599999999999"/>
    <n v="0.61"/>
    <n v="1.9119999999999999"/>
    <n v="31.29"/>
    <n v="98.087999999999994"/>
    <n v="13208.813"/>
    <n v="21"/>
    <n v="48364250944"/>
  </r>
  <r>
    <x v="4"/>
    <x v="1"/>
    <s v="IRQ"/>
    <x v="0"/>
    <s v="Upper middle income"/>
    <n v="25197842"/>
    <n v="97219510326"/>
    <n v="32.25"/>
    <n v="32.25"/>
    <n v="1279.8710000000001"/>
    <n v="0"/>
    <n v="0"/>
    <n v="26.22"/>
    <n v="26.22"/>
    <n v="1040.5650000000001"/>
    <n v="16.248000000000001"/>
    <n v="7.2880000000000003"/>
    <n v="1440.634"/>
    <n v="323.30200000000002"/>
    <n v="0.62"/>
    <n v="1.9219999999999999"/>
    <n v="31.63"/>
    <n v="98.078000000000003"/>
    <n v="14302.593000000001"/>
    <n v="21.17"/>
    <n v="36176430129"/>
  </r>
  <r>
    <x v="4"/>
    <x v="2"/>
    <s v="IRQ"/>
    <x v="0"/>
    <s v="Upper middle income"/>
    <n v="26006558"/>
    <n v="112142000000"/>
    <n v="33.86"/>
    <n v="33.86"/>
    <n v="1301.979"/>
    <n v="0"/>
    <n v="0"/>
    <n v="22.42"/>
    <n v="22.42"/>
    <n v="862.09"/>
    <n v="13.231"/>
    <n v="6.5609999999999999"/>
    <n v="1208.05"/>
    <n v="306.80900000000003"/>
    <n v="0.52"/>
    <n v="1.536"/>
    <n v="33.340000000000003"/>
    <n v="98.463999999999999"/>
    <n v="13171.254000000001"/>
    <n v="22.25"/>
    <n v="32928454672"/>
  </r>
  <r>
    <x v="4"/>
    <x v="3"/>
    <s v="IRQ"/>
    <x v="0"/>
    <s v="Upper middle income"/>
    <n v="26802660"/>
    <n v="94480598969"/>
    <n v="28.33"/>
    <n v="28.33"/>
    <n v="1056.9849999999999"/>
    <n v="0"/>
    <n v="0"/>
    <n v="14.82"/>
    <n v="14.82"/>
    <n v="552.92999999999995"/>
    <n v="10.448"/>
    <n v="4.8879999999999999"/>
    <n v="767.86500000000001"/>
    <n v="275.41000000000003"/>
    <n v="0.43"/>
    <n v="1.518"/>
    <n v="27.9"/>
    <n v="98.481999999999999"/>
    <n v="11342.992"/>
    <n v="18.57"/>
    <n v="21921569479"/>
  </r>
  <r>
    <x v="4"/>
    <x v="4"/>
    <s v="IRQ"/>
    <x v="0"/>
    <s v="Upper middle income"/>
    <n v="27577876"/>
    <n v="155937000000"/>
    <n v="32.29"/>
    <n v="33.61"/>
    <n v="1218.731"/>
    <n v="1.32"/>
    <n v="3.927"/>
    <n v="9.5"/>
    <n v="9.5"/>
    <n v="344.47899999999998"/>
    <n v="5.8840000000000003"/>
    <n v="2.923"/>
    <n v="1162.373"/>
    <n v="299.94"/>
    <n v="0.49"/>
    <n v="1.5169999999999999"/>
    <n v="31.8"/>
    <n v="98.481999999999999"/>
    <n v="11821.411"/>
    <n v="21.06"/>
    <n v="36633669269"/>
  </r>
  <r>
    <x v="4"/>
    <x v="5"/>
    <s v="IRQ"/>
    <x v="0"/>
    <s v="Upper middle income"/>
    <n v="28407450"/>
    <n v="170896000000"/>
    <n v="30.4"/>
    <n v="31.64"/>
    <n v="1113.7919999999999"/>
    <n v="1.24"/>
    <n v="3.919"/>
    <n v="13.775"/>
    <n v="13.775"/>
    <n v="484.90800000000002"/>
    <n v="32.895000000000003"/>
    <n v="4.4809999999999999"/>
    <n v="1045.9280000000001"/>
    <n v="280.47899999999998"/>
    <n v="6"/>
    <n v="19.736999999999998"/>
    <n v="24.4"/>
    <n v="80.263000000000005"/>
    <n v="10851.643"/>
    <n v="16.87"/>
    <n v="50065104668"/>
  </r>
  <r>
    <x v="4"/>
    <x v="6"/>
    <s v="IRQ"/>
    <x v="0"/>
    <s v="Upper middle income"/>
    <n v="28616518"/>
    <n v="190083000000"/>
    <n v="33.83"/>
    <n v="36.520000000000003"/>
    <n v="1276.1859999999999"/>
    <n v="2.69"/>
    <n v="7.3659999999999997"/>
    <n v="13.775"/>
    <n v="13.775"/>
    <n v="481.36500000000001"/>
    <n v="41.914999999999999"/>
    <n v="4.6100000000000003"/>
    <n v="1139.99"/>
    <n v="271.65600000000001"/>
    <n v="6.1"/>
    <n v="18.030999999999999"/>
    <n v="27.73"/>
    <n v="81.968999999999994"/>
    <n v="10470.602000000001"/>
    <n v="19.34"/>
    <n v="65147051918"/>
  </r>
  <r>
    <x v="4"/>
    <x v="7"/>
    <s v="IRQ"/>
    <x v="0"/>
    <s v="Upper middle income"/>
    <n v="28391606"/>
    <n v="200529000000"/>
    <n v="33.24"/>
    <n v="35.44"/>
    <n v="1248.2560000000001"/>
    <n v="2.2000000000000002"/>
    <n v="6.2080000000000002"/>
    <n v="45.43"/>
    <n v="45.43"/>
    <n v="1600.106"/>
    <n v="38.929000000000002"/>
    <n v="15.073"/>
    <n v="1222.19"/>
    <n v="243.81899999999999"/>
    <n v="5.74"/>
    <n v="17.268000000000001"/>
    <n v="27.5"/>
    <n v="82.731999999999999"/>
    <n v="10642.609"/>
    <n v="19.100000000000001"/>
    <n v="88837057320"/>
  </r>
  <r>
    <x v="4"/>
    <x v="8"/>
    <s v="IRQ"/>
    <x v="0"/>
    <s v="Upper middle income"/>
    <n v="28971042"/>
    <n v="231588000000"/>
    <n v="36.880000000000003"/>
    <n v="39.85"/>
    <n v="1375.511"/>
    <n v="2.97"/>
    <n v="7.4530000000000003"/>
    <n v="64.575999999999993"/>
    <n v="64.575999999999993"/>
    <n v="2228.9929999999999"/>
    <n v="49.484999999999999"/>
    <n v="18.696999999999999"/>
    <n v="1387.6790000000001"/>
    <n v="273.06400000000002"/>
    <n v="3.48"/>
    <n v="9.4359999999999999"/>
    <n v="33.4"/>
    <n v="90.563999999999993"/>
    <n v="11938.793"/>
    <n v="23.28"/>
    <n v="131614000000"/>
  </r>
  <r>
    <x v="4"/>
    <x v="9"/>
    <s v="IRQ"/>
    <x v="0"/>
    <s v="Upper middle income"/>
    <n v="30058207"/>
    <n v="259746000000"/>
    <n v="37.85"/>
    <n v="43.44"/>
    <n v="1445.1959999999999"/>
    <n v="5.59"/>
    <n v="12.868"/>
    <n v="68.527000000000001"/>
    <n v="68.527000000000001"/>
    <n v="2279.8200000000002"/>
    <n v="48.085000000000001"/>
    <n v="20.213999999999999"/>
    <n v="1392.547"/>
    <n v="263.04899999999998"/>
    <n v="3.23"/>
    <n v="8.5340000000000007"/>
    <n v="34.619999999999997"/>
    <n v="91.465999999999994"/>
    <n v="11294.105"/>
    <n v="24.07"/>
    <n v="111658000000"/>
  </r>
  <r>
    <x v="4"/>
    <x v="10"/>
    <s v="IRQ"/>
    <x v="0"/>
    <s v="Upper middle income"/>
    <n v="31045367"/>
    <n v="297507000000"/>
    <n v="48.91"/>
    <n v="55.63"/>
    <n v="1791.894"/>
    <n v="6.72"/>
    <n v="12.08"/>
    <n v="71.352999999999994"/>
    <n v="71.352999999999994"/>
    <n v="2298.3330000000001"/>
    <n v="30.812000000000001"/>
    <n v="18.219000000000001"/>
    <n v="1405.0619999999999"/>
    <n v="310.88"/>
    <n v="4.7699999999999996"/>
    <n v="9.7530000000000001"/>
    <n v="44.14"/>
    <n v="90.247"/>
    <n v="12635.254000000001"/>
    <n v="30.16"/>
    <n v="138517000000"/>
  </r>
  <r>
    <x v="4"/>
    <x v="11"/>
    <s v="IRQ"/>
    <x v="0"/>
    <s v="Upper middle income"/>
    <n v="32161425"/>
    <n v="344221000000"/>
    <n v="53.9"/>
    <n v="61.13"/>
    <n v="1900.7239999999999"/>
    <n v="7.23"/>
    <n v="11.827"/>
    <n v="63.018999999999998"/>
    <n v="63.018999999999998"/>
    <n v="1959.4649999999999"/>
    <n v="33.395000000000003"/>
    <n v="15.577999999999999"/>
    <n v="1579.367"/>
    <n v="332.70299999999997"/>
    <n v="3.4"/>
    <n v="6.3079999999999998"/>
    <n v="50.5"/>
    <n v="93.691999999999993"/>
    <n v="12595.847"/>
    <n v="34.51"/>
    <n v="185750000000"/>
  </r>
  <r>
    <x v="4"/>
    <x v="12"/>
    <s v="IRQ"/>
    <x v="0"/>
    <s v="Upper middle income"/>
    <n v="33654843"/>
    <n v="392191000000"/>
    <n v="46.02"/>
    <n v="56.19"/>
    <n v="1669.596"/>
    <n v="10.17"/>
    <n v="18.099"/>
    <n v="63.412999999999997"/>
    <n v="63.412999999999997"/>
    <n v="1884.23"/>
    <n v="22.338000000000001"/>
    <n v="14.393000000000001"/>
    <n v="1759.7950000000001"/>
    <n v="365.834"/>
    <n v="4.3899999999999997"/>
    <n v="9.5389999999999997"/>
    <n v="41.63"/>
    <n v="90.460999999999999"/>
    <n v="13112.636"/>
    <n v="28.18"/>
    <n v="218002000000"/>
  </r>
  <r>
    <x v="4"/>
    <x v="13"/>
    <s v="IRQ"/>
    <x v="0"/>
    <s v="Upper middle income"/>
    <n v="35281987"/>
    <n v="422108000000"/>
    <n v="58.9"/>
    <n v="68.14"/>
    <n v="1931.297"/>
    <n v="9.24"/>
    <n v="13.56"/>
    <n v="70.727000000000004"/>
    <n v="70.727000000000004"/>
    <n v="2004.6079999999999"/>
    <n v="21.138000000000002"/>
    <n v="14.593"/>
    <n v="1767.0060000000001"/>
    <n v="402.03399999999999"/>
    <n v="4.8099999999999996"/>
    <n v="8.1660000000000004"/>
    <n v="54.09"/>
    <n v="91.834000000000003"/>
    <n v="13759.075999999999"/>
    <n v="36.53"/>
    <n v="234638000000"/>
  </r>
  <r>
    <x v="4"/>
    <x v="14"/>
    <s v="IRQ"/>
    <x v="0"/>
    <s v="Upper middle income"/>
    <n v="36550058"/>
    <n v="425223000000"/>
    <n v="69.03"/>
    <n v="77.89"/>
    <n v="2131.0500000000002"/>
    <n v="8.86"/>
    <n v="11.375"/>
    <n v="75.308000000000007"/>
    <n v="75.308000000000007"/>
    <n v="2060.4169999999999"/>
    <n v="21.946999999999999"/>
    <n v="15.797000000000001"/>
    <n v="1846.9590000000001"/>
    <n v="394.05099999999999"/>
    <n v="2.99"/>
    <n v="4.3310000000000004"/>
    <n v="66.040000000000006"/>
    <n v="95.668999999999997"/>
    <n v="13055.939"/>
    <n v="44.54"/>
    <n v="228416000000"/>
  </r>
  <r>
    <x v="4"/>
    <x v="15"/>
    <s v="IRQ"/>
    <x v="0"/>
    <s v="Upper middle income"/>
    <n v="37560535"/>
    <n v="436011000000"/>
    <n v="70.64"/>
    <n v="79.81"/>
    <n v="2124.837"/>
    <n v="9.17"/>
    <n v="11.49"/>
    <n v="73.010999999999996"/>
    <n v="73.010999999999996"/>
    <n v="1943.8209999999999"/>
    <n v="29.827000000000002"/>
    <n v="15.505000000000001"/>
    <n v="2275.0129999999999"/>
    <n v="391.29700000000003"/>
    <n v="2.61"/>
    <n v="3.6949999999999998"/>
    <n v="68.03"/>
    <n v="96.305000000000007"/>
    <n v="12548.263000000001"/>
    <n v="46.23"/>
    <n v="166774000000"/>
  </r>
  <r>
    <x v="4"/>
    <x v="16"/>
    <s v="IRQ"/>
    <x v="0"/>
    <s v="Upper middle income"/>
    <n v="38469628"/>
    <n v="502280000000"/>
    <n v="81.93"/>
    <n v="90.07"/>
    <n v="2341.328"/>
    <n v="8.14"/>
    <n v="9.0370000000000008"/>
    <n v="98.956000000000003"/>
    <n v="98.956000000000003"/>
    <n v="2572.3090000000002"/>
    <n v="25.497"/>
    <n v="19.629000000000001"/>
    <n v="2530.7150000000001"/>
    <n v="396.54899999999998"/>
    <n v="3.43"/>
    <n v="4.1870000000000003"/>
    <n v="78.5"/>
    <n v="95.813000000000002"/>
    <n v="13119.014999999999"/>
    <n v="53.13"/>
    <n v="166744000000"/>
  </r>
  <r>
    <x v="4"/>
    <x v="17"/>
    <s v="IRQ"/>
    <x v="0"/>
    <s v="Upper middle income"/>
    <n v="39337358"/>
    <n v="485208000000"/>
    <n v="93.58"/>
    <n v="99.22"/>
    <n v="2522.2840000000001"/>
    <n v="5.64"/>
    <n v="5.6840000000000002"/>
    <n v="101.178"/>
    <n v="114.26900000000001"/>
    <n v="2572.058"/>
    <n v="36.064999999999998"/>
    <n v="19.105"/>
    <n v="2586.3009999999999"/>
    <n v="478.24900000000002"/>
    <n v="2.2400000000000002"/>
    <n v="2.3940000000000001"/>
    <n v="91.34"/>
    <n v="97.605999999999995"/>
    <n v="15213.562"/>
    <n v="62.4"/>
    <n v="187218000000"/>
  </r>
  <r>
    <x v="4"/>
    <x v="18"/>
    <s v="IRQ"/>
    <x v="0"/>
    <s v="Upper middle income"/>
    <n v="40265629"/>
    <n v="508027000000"/>
    <n v="98.41"/>
    <n v="103.09"/>
    <n v="2560.248"/>
    <n v="4.68"/>
    <n v="4.54"/>
    <n v="105.73699999999999"/>
    <n v="146.00399999999999"/>
    <n v="2625.9949999999999"/>
    <n v="54.314"/>
    <n v="23.46"/>
    <n v="2640.1550000000002"/>
    <n v="470.88"/>
    <n v="1.88"/>
    <n v="1.91"/>
    <n v="96.53"/>
    <n v="98.09"/>
    <n v="15464.541999999999"/>
    <n v="67.12"/>
    <n v="227367000000"/>
  </r>
  <r>
    <x v="4"/>
    <x v="19"/>
    <s v="IRQ"/>
    <x v="0"/>
    <s v="Upper middle income"/>
    <n v="41192172"/>
    <n v="537548000000"/>
    <n v="115.21"/>
    <n v="121.76"/>
    <n v="2955.9009999999998"/>
    <n v="6.55"/>
    <n v="5.3789999999999996"/>
    <n v="109.669"/>
    <n v="194.952"/>
    <n v="2662.364"/>
    <n v="57.668999999999997"/>
    <n v="29.23"/>
    <n v="2723.98"/>
    <n v="458.79500000000002"/>
    <n v="5.0199999999999996"/>
    <n v="4.3570000000000002"/>
    <n v="110.19"/>
    <n v="95.643000000000001"/>
    <n v="16212.383"/>
    <n v="77.06"/>
    <n v="233636000000"/>
  </r>
  <r>
    <x v="4"/>
    <x v="20"/>
    <s v="IRQ"/>
    <x v="0"/>
    <s v="Upper middle income"/>
    <n v="42116602"/>
    <n v="453148000000"/>
    <n v="117.12"/>
    <n v="124.57"/>
    <n v="2957.741"/>
    <n v="7.45"/>
    <n v="5.9809999999999999"/>
    <n v="70.054000000000002"/>
    <n v="184.851"/>
    <n v="1663.3230000000001"/>
    <n v="61.057000000000002"/>
    <n v="31.117000000000001"/>
    <n v="2349.6999999999998"/>
    <n v="397.99599999999998"/>
    <n v="4.54"/>
    <n v="3.8759999999999999"/>
    <n v="112.58"/>
    <n v="96.123999999999995"/>
    <n v="14121.946"/>
    <n v="78.959999999999994"/>
    <n v="180899000000"/>
  </r>
  <r>
    <x v="4"/>
    <x v="21"/>
    <s v="IRQ"/>
    <x v="0"/>
    <s v="Upper middle income"/>
    <n v="43071208"/>
    <n v="487936000000"/>
    <n v="120.46"/>
    <n v="125.56"/>
    <n v="2915.172"/>
    <n v="5.0999999999999996"/>
    <n v="4.0620000000000003"/>
    <n v="91.07"/>
    <n v="164.19300000000001"/>
    <n v="2114.3960000000002"/>
    <n v="58.832999999999998"/>
    <n v="26.574000000000002"/>
    <n v="2335.6460000000002"/>
    <n v="444.5"/>
    <n v="3.73"/>
    <n v="3.0960000000000001"/>
    <n v="116.73"/>
    <n v="96.903999999999996"/>
    <n v="14358.384"/>
    <n v="81.64"/>
    <n v="209692000000"/>
  </r>
  <r>
    <x v="4"/>
    <x v="22"/>
    <s v="IRQ"/>
    <x v="0"/>
    <s v="Upper middle income"/>
    <n v="44070556"/>
    <n v="527639000000"/>
    <n v="133.86000000000001"/>
    <n v="137.38999999999999"/>
    <n v="3117.5010000000002"/>
    <n v="3.53"/>
    <n v="2.569"/>
    <n v="92.891000000000005"/>
    <n v="183.61600000000001"/>
    <n v="2107.779"/>
    <n v="67.414000000000001"/>
    <n v="27.02"/>
    <n v="2573.837"/>
    <n v="488.49599999999998"/>
    <n v="3.03"/>
    <n v="2.2639999999999998"/>
    <n v="130.83000000000001"/>
    <n v="97.736000000000004"/>
    <n v="15429.901"/>
    <n v="92.19"/>
    <n v="287372000000"/>
  </r>
  <r>
    <x v="4"/>
    <x v="23"/>
    <s v="IRQ"/>
    <x v="0"/>
    <s v="Upper middle income"/>
    <n v="45074055"/>
    <n v="597631000000"/>
    <n v="145.01"/>
    <n v="151.83000000000001"/>
    <n v="3368.4569999999999"/>
    <n v="6.82"/>
    <n v="4.492"/>
    <n v="104.148"/>
    <n v="192.285"/>
    <n v="2310.6089999999999"/>
    <n v="52.19"/>
    <n v="26.797000000000001"/>
    <n v="2477.6640000000002"/>
    <n v="520.97400000000005"/>
    <n v="1.76"/>
    <n v="1.214"/>
    <n v="143.25"/>
    <n v="98.786000000000001"/>
    <n v="15925.554"/>
    <n v="99.35"/>
    <n v="268881000000"/>
  </r>
  <r>
    <x v="5"/>
    <x v="0"/>
    <s v="ISR"/>
    <x v="0"/>
    <s v="High income"/>
    <n v="6111194"/>
    <n v="158656000000"/>
    <n v="42.66"/>
    <n v="41.2"/>
    <n v="6741.7269999999999"/>
    <n v="-1.46"/>
    <n v="-3.544"/>
    <n v="9.0999999999999998E-2"/>
    <n v="9.0999999999999998E-2"/>
    <n v="14.864000000000001"/>
    <n v="2.3E-2"/>
    <n v="0.04"/>
    <n v="5.0999999999999997E-2"/>
    <n v="154.44399999999999"/>
    <n v="0.03"/>
    <n v="7.0000000000000007E-2"/>
    <n v="42.63"/>
    <n v="99.93"/>
    <n v="37205.684000000001"/>
    <n v="33.89"/>
    <n v="136410000000"/>
  </r>
  <r>
    <x v="5"/>
    <x v="1"/>
    <s v="ISR"/>
    <x v="0"/>
    <s v="High income"/>
    <n v="6259977"/>
    <n v="158567000000"/>
    <n v="43.95"/>
    <n v="42.55"/>
    <n v="6797.1490000000003"/>
    <n v="-1.4"/>
    <n v="-3.29"/>
    <n v="9.5000000000000001E-2"/>
    <n v="9.5000000000000001E-2"/>
    <n v="15.198"/>
    <n v="2.3E-2"/>
    <n v="4.2000000000000003E-2"/>
    <n v="5.0999999999999997E-2"/>
    <n v="143.09"/>
    <n v="0.02"/>
    <n v="4.5999999999999999E-2"/>
    <n v="43.93"/>
    <n v="99.953999999999994"/>
    <n v="36296.055"/>
    <n v="35.49"/>
    <n v="134889000000"/>
  </r>
  <r>
    <x v="5"/>
    <x v="2"/>
    <s v="ISR"/>
    <x v="0"/>
    <s v="High income"/>
    <n v="6387714"/>
    <n v="158018000000"/>
    <n v="45.5"/>
    <n v="44.11"/>
    <n v="6905.4440000000004"/>
    <n v="-1.39"/>
    <n v="-3.1509999999999998"/>
    <n v="8.5000000000000006E-2"/>
    <n v="8.5000000000000006E-2"/>
    <n v="13.295"/>
    <n v="6.6000000000000003E-2"/>
    <n v="3.6999999999999998E-2"/>
    <n v="6.3E-2"/>
    <n v="142.726"/>
    <n v="0.03"/>
    <n v="6.6000000000000003E-2"/>
    <n v="45.47"/>
    <n v="99.933999999999997"/>
    <n v="36285.675999999999"/>
    <n v="36.93"/>
    <n v="125216000000"/>
  </r>
  <r>
    <x v="5"/>
    <x v="3"/>
    <s v="ISR"/>
    <x v="0"/>
    <s v="High income"/>
    <n v="6502821"/>
    <n v="159163000000"/>
    <n v="47.04"/>
    <n v="45.57"/>
    <n v="7007.7280000000001"/>
    <n v="-1.47"/>
    <n v="-3.226"/>
    <n v="7.6999999999999999E-2"/>
    <n v="7.6999999999999999E-2"/>
    <n v="11.861000000000001"/>
    <n v="6.4000000000000001E-2"/>
    <n v="3.2000000000000001E-2"/>
    <n v="3.7999999999999999E-2"/>
    <n v="146.52600000000001"/>
    <n v="0.04"/>
    <n v="8.5000000000000006E-2"/>
    <n v="47"/>
    <n v="99.915000000000006"/>
    <n v="36728.059000000001"/>
    <n v="38.14"/>
    <n v="131279000000"/>
  </r>
  <r>
    <x v="5"/>
    <x v="4"/>
    <s v="ISR"/>
    <x v="0"/>
    <s v="High income"/>
    <n v="6615084"/>
    <n v="166466000000"/>
    <n v="47.28"/>
    <n v="45.82"/>
    <n v="6926.5940000000001"/>
    <n v="-1.46"/>
    <n v="-3.1859999999999999"/>
    <n v="11.32"/>
    <n v="11.294"/>
    <n v="1711.277"/>
    <n v="9.1790000000000003"/>
    <n v="4.6390000000000002"/>
    <n v="4.8000000000000001E-2"/>
    <n v="139.08600000000001"/>
    <n v="0.04"/>
    <n v="8.5000000000000006E-2"/>
    <n v="47.24"/>
    <n v="99.915000000000006"/>
    <n v="36808.152000000002"/>
    <n v="38"/>
    <n v="139925000000"/>
  </r>
  <r>
    <x v="5"/>
    <x v="5"/>
    <s v="ISR"/>
    <x v="0"/>
    <s v="High income"/>
    <n v="6728212"/>
    <n v="172697000000"/>
    <n v="48.61"/>
    <n v="46.94"/>
    <n v="6976.5929999999998"/>
    <n v="-1.67"/>
    <n v="-3.5579999999999998"/>
    <n v="15.711"/>
    <n v="15.565"/>
    <n v="2335.0219999999999"/>
    <n v="11.582000000000001"/>
    <n v="6.3620000000000001"/>
    <n v="6.3E-2"/>
    <n v="136.45400000000001"/>
    <n v="0.04"/>
    <n v="8.2000000000000003E-2"/>
    <n v="48.57"/>
    <n v="99.918000000000006"/>
    <n v="36361.737999999998"/>
    <n v="38.700000000000003"/>
    <n v="147346000000"/>
  </r>
  <r>
    <x v="5"/>
    <x v="6"/>
    <s v="ISR"/>
    <x v="0"/>
    <s v="High income"/>
    <n v="6844029"/>
    <n v="181911000000"/>
    <n v="50.56"/>
    <n v="48.72"/>
    <n v="7118.6139999999996"/>
    <n v="-1.84"/>
    <n v="-3.7770000000000001"/>
    <n v="21.952000000000002"/>
    <n v="21.734000000000002"/>
    <n v="3207.538"/>
    <n v="17.978999999999999"/>
    <n v="8.8369999999999997"/>
    <n v="6.3E-2"/>
    <n v="132.768"/>
    <n v="0.02"/>
    <n v="0.04"/>
    <n v="50.54"/>
    <n v="99.96"/>
    <n v="35937.851999999999"/>
    <n v="39.61"/>
    <n v="158707000000"/>
  </r>
  <r>
    <x v="5"/>
    <x v="7"/>
    <s v="ISR"/>
    <x v="0"/>
    <s v="High income"/>
    <n v="6962456"/>
    <n v="192597000000"/>
    <n v="53.79"/>
    <n v="51.71"/>
    <n v="7426.9769999999999"/>
    <n v="-2.08"/>
    <n v="-4.0220000000000002"/>
    <n v="26.175000000000001"/>
    <n v="26.004999999999999"/>
    <n v="3759.498"/>
    <n v="19.649999999999999"/>
    <n v="10.195"/>
    <n v="6.3E-2"/>
    <n v="135.56299999999999"/>
    <n v="0.02"/>
    <n v="3.6999999999999998E-2"/>
    <n v="53.77"/>
    <n v="99.962999999999994"/>
    <n v="36637.171999999999"/>
    <n v="41.92"/>
    <n v="184449000000"/>
  </r>
  <r>
    <x v="5"/>
    <x v="8"/>
    <s v="ISR"/>
    <x v="0"/>
    <s v="High income"/>
    <n v="7082621"/>
    <n v="197786000000"/>
    <n v="56.79"/>
    <n v="53.12"/>
    <n v="7500.0479999999998"/>
    <n v="-3.67"/>
    <n v="-6.9089999999999998"/>
    <n v="32.615000000000002"/>
    <n v="35.78"/>
    <n v="4604.9089999999997"/>
    <n v="27.082000000000001"/>
    <n v="13.635"/>
    <n v="6.4000000000000001E-2"/>
    <n v="134.59200000000001"/>
    <n v="0.04"/>
    <n v="7.0000000000000007E-2"/>
    <n v="56.75"/>
    <n v="99.93"/>
    <n v="37052.305"/>
    <n v="43.07"/>
    <n v="220952000000"/>
  </r>
  <r>
    <x v="5"/>
    <x v="9"/>
    <s v="ISR"/>
    <x v="0"/>
    <s v="High income"/>
    <n v="7206096"/>
    <n v="199771000000"/>
    <n v="54.73"/>
    <n v="50.95"/>
    <n v="7070.4030000000002"/>
    <n v="-3.78"/>
    <n v="-7.4189999999999996"/>
    <n v="25.34"/>
    <n v="39.670999999999999"/>
    <n v="3516.5189999999998"/>
    <n v="32.924999999999997"/>
    <n v="15.561"/>
    <n v="6.3E-2"/>
    <n v="124.92700000000001"/>
    <n v="0.09"/>
    <n v="0.16400000000000001"/>
    <n v="54.64"/>
    <n v="99.835999999999999"/>
    <n v="35380.597999999998"/>
    <n v="41.26"/>
    <n v="213113000000"/>
  </r>
  <r>
    <x v="5"/>
    <x v="10"/>
    <s v="ISR"/>
    <x v="0"/>
    <s v="High income"/>
    <n v="7336735"/>
    <n v="210328000000"/>
    <n v="58.55"/>
    <n v="54.58"/>
    <n v="7439.277"/>
    <n v="-3.97"/>
    <n v="-7.274"/>
    <n v="30.75"/>
    <n v="50.680999999999997"/>
    <n v="4191.2529999999997"/>
    <n v="37.488999999999997"/>
    <n v="19.122"/>
    <n v="6.3E-2"/>
    <n v="123.848"/>
    <n v="0.17"/>
    <n v="0.28999999999999998"/>
    <n v="58.38"/>
    <n v="99.71"/>
    <n v="36127.625"/>
    <n v="43.37"/>
    <n v="239373000000"/>
  </r>
  <r>
    <x v="5"/>
    <x v="11"/>
    <s v="ISR"/>
    <x v="0"/>
    <s v="High income"/>
    <n v="7471023"/>
    <n v="220210000000"/>
    <n v="59.6"/>
    <n v="55.38"/>
    <n v="7412.64"/>
    <n v="-4.22"/>
    <n v="-7.62"/>
    <n v="40.430999999999997"/>
    <n v="47.073999999999998"/>
    <n v="5411.67"/>
    <n v="33.137999999999998"/>
    <n v="17.434000000000001"/>
    <n v="0.247"/>
    <n v="129.74"/>
    <n v="0.3"/>
    <n v="0.503"/>
    <n v="59.3"/>
    <n v="99.497"/>
    <n v="36147.910000000003"/>
    <n v="44.37"/>
    <n v="267739000000"/>
  </r>
  <r>
    <x v="5"/>
    <x v="12"/>
    <s v="ISR"/>
    <x v="0"/>
    <s v="High income"/>
    <n v="7607781"/>
    <n v="225909000000"/>
    <n v="63.01"/>
    <n v="58.58"/>
    <n v="7700.0119999999997"/>
    <n v="-4.43"/>
    <n v="-7.5620000000000003"/>
    <n v="23.66"/>
    <n v="24.201000000000001"/>
    <n v="3109.9209999999998"/>
    <n v="16.774999999999999"/>
    <n v="8.5619999999999994"/>
    <n v="0.248"/>
    <n v="154.56700000000001"/>
    <n v="0.49"/>
    <n v="0.77800000000000002"/>
    <n v="62.52"/>
    <n v="99.221999999999994"/>
    <n v="37162.938000000002"/>
    <n v="48"/>
    <n v="263172000000"/>
  </r>
  <r>
    <x v="5"/>
    <x v="13"/>
    <s v="ISR"/>
    <x v="0"/>
    <s v="High income"/>
    <n v="7749369"/>
    <n v="235886000000"/>
    <n v="61.32"/>
    <n v="56.64"/>
    <n v="7308.982"/>
    <n v="-4.68"/>
    <n v="-8.2629999999999999"/>
    <n v="60.634"/>
    <n v="65.771000000000001"/>
    <n v="7824.3549999999996"/>
    <n v="43.02"/>
    <n v="24.625"/>
    <n v="0.247"/>
    <n v="117.322"/>
    <n v="0.56999999999999995"/>
    <n v="0.93"/>
    <n v="60.75"/>
    <n v="99.07"/>
    <n v="34478.061999999998"/>
    <n v="44.14"/>
    <n v="298045000000"/>
  </r>
  <r>
    <x v="5"/>
    <x v="14"/>
    <s v="ISR"/>
    <x v="0"/>
    <s v="High income"/>
    <n v="7897173"/>
    <n v="245130000000"/>
    <n v="60.86"/>
    <n v="56.02"/>
    <n v="7093.6779999999999"/>
    <n v="-4.84"/>
    <n v="-8.64"/>
    <n v="71.465999999999994"/>
    <n v="71.844999999999999"/>
    <n v="9049.51"/>
    <n v="48.405999999999999"/>
    <n v="27.582999999999998"/>
    <n v="0.247"/>
    <n v="109.441"/>
    <n v="0.96"/>
    <n v="1.577"/>
    <n v="59.9"/>
    <n v="98.423000000000002"/>
    <n v="33001.949000000001"/>
    <n v="42.93"/>
    <n v="314377000000"/>
  </r>
  <r>
    <x v="5"/>
    <x v="15"/>
    <s v="ISR"/>
    <x v="0"/>
    <s v="High income"/>
    <n v="8052916"/>
    <n v="251224000000"/>
    <n v="64.23"/>
    <n v="59.03"/>
    <n v="7330.2640000000001"/>
    <n v="-5.2"/>
    <n v="-8.8089999999999993"/>
    <n v="78.668000000000006"/>
    <n v="79.903000000000006"/>
    <n v="9768.92"/>
    <n v="51.610999999999997"/>
    <n v="29.074999999999999"/>
    <n v="0.247"/>
    <n v="116.404"/>
    <n v="1.22"/>
    <n v="1.899"/>
    <n v="63.01"/>
    <n v="98.100999999999999"/>
    <n v="34152.684000000001"/>
    <n v="44.49"/>
    <n v="302841000000"/>
  </r>
  <r>
    <x v="5"/>
    <x v="16"/>
    <s v="ISR"/>
    <x v="0"/>
    <s v="High income"/>
    <n v="8210006"/>
    <n v="262584000000"/>
    <n v="67.010000000000005"/>
    <n v="61.46"/>
    <n v="7485.9870000000001"/>
    <n v="-5.55"/>
    <n v="-9.0299999999999994"/>
    <n v="88.358999999999995"/>
    <n v="91.78"/>
    <n v="10762.393"/>
    <n v="60.915999999999997"/>
    <n v="32.744999999999997"/>
    <n v="0.248"/>
    <n v="119.49"/>
    <n v="1.7"/>
    <n v="2.5369999999999999"/>
    <n v="65.31"/>
    <n v="97.462999999999994"/>
    <n v="34174.199000000001"/>
    <n v="44.37"/>
    <n v="321084000000"/>
  </r>
  <r>
    <x v="5"/>
    <x v="17"/>
    <s v="ISR"/>
    <x v="0"/>
    <s v="High income"/>
    <n v="8361796"/>
    <n v="273812000000"/>
    <n v="67.44"/>
    <n v="61.79"/>
    <n v="7389.5609999999997"/>
    <n v="-5.65"/>
    <n v="-9.1440000000000001"/>
    <n v="93.394999999999996"/>
    <n v="97.641999999999996"/>
    <n v="11169.23"/>
    <n v="63.463999999999999"/>
    <n v="34.212000000000003"/>
    <n v="0.248"/>
    <n v="124.574"/>
    <n v="1.69"/>
    <n v="2.5059999999999998"/>
    <n v="65.75"/>
    <n v="97.494"/>
    <n v="34165.57"/>
    <n v="44.05"/>
    <n v="357361000000"/>
  </r>
  <r>
    <x v="5"/>
    <x v="18"/>
    <s v="ISR"/>
    <x v="0"/>
    <s v="High income"/>
    <n v="8510067"/>
    <n v="284956000000"/>
    <n v="69.02"/>
    <n v="63.16"/>
    <n v="7421.7979999999998"/>
    <n v="-5.86"/>
    <n v="-9.2780000000000005"/>
    <n v="99.38"/>
    <n v="105.746"/>
    <n v="11677.987999999999"/>
    <n v="66.704999999999998"/>
    <n v="36.225999999999999"/>
    <n v="0.248"/>
    <n v="125.858"/>
    <n v="1.88"/>
    <n v="2.7240000000000002"/>
    <n v="67.14"/>
    <n v="97.275999999999996"/>
    <n v="34337.160000000003"/>
    <n v="44.42"/>
    <n v="375470000000"/>
  </r>
  <r>
    <x v="5"/>
    <x v="19"/>
    <s v="ISR"/>
    <x v="0"/>
    <s v="High income"/>
    <n v="8657466"/>
    <n v="296799000000"/>
    <n v="72.709999999999994"/>
    <n v="66.400000000000006"/>
    <n v="7669.6809999999996"/>
    <n v="-6.31"/>
    <n v="-9.5030000000000001"/>
    <n v="99.617999999999995"/>
    <n v="107.21899999999999"/>
    <n v="11506.599"/>
    <n v="63.402999999999999"/>
    <n v="35.622999999999998"/>
    <n v="0.249"/>
    <n v="127.13"/>
    <n v="3.51"/>
    <n v="4.827"/>
    <n v="69.2"/>
    <n v="95.173000000000002"/>
    <n v="34826.125"/>
    <n v="46.1"/>
    <n v="399208000000"/>
  </r>
  <r>
    <x v="5"/>
    <x v="20"/>
    <s v="ISR"/>
    <x v="0"/>
    <s v="High income"/>
    <n v="8800380"/>
    <n v="291288000000"/>
    <n v="72.739999999999995"/>
    <n v="66.5"/>
    <n v="7556.4920000000002"/>
    <n v="-6.24"/>
    <n v="-9.3829999999999991"/>
    <n v="146.69499999999999"/>
    <n v="112.682"/>
    <n v="16669.217000000001"/>
    <n v="67.087999999999994"/>
    <n v="39.613"/>
    <n v="0.249"/>
    <n v="109.861"/>
    <n v="4.4400000000000004"/>
    <n v="6.1040000000000001"/>
    <n v="68.3"/>
    <n v="93.896000000000001"/>
    <n v="32400.351999999999"/>
    <n v="44.75"/>
    <n v="410909000000"/>
  </r>
  <r>
    <x v="5"/>
    <x v="21"/>
    <s v="ISR"/>
    <x v="0"/>
    <s v="High income"/>
    <n v="8942925"/>
    <n v="316373000000"/>
    <n v="74.12"/>
    <n v="67.599999999999994"/>
    <n v="7559.0479999999998"/>
    <n v="-6.52"/>
    <n v="-9.6449999999999996"/>
    <n v="183.274"/>
    <n v="117.337"/>
    <n v="20493.775000000001"/>
    <n v="68.807000000000002"/>
    <n v="40.293999999999997"/>
    <n v="0.249"/>
    <n v="114.398"/>
    <n v="5.82"/>
    <n v="7.8520000000000003"/>
    <n v="68.3"/>
    <n v="92.147999999999996"/>
    <n v="32656.467000000001"/>
    <n v="44.2"/>
    <n v="489735000000"/>
  </r>
  <r>
    <x v="5"/>
    <x v="22"/>
    <s v="ISR"/>
    <x v="0"/>
    <s v="High income"/>
    <n v="9103143"/>
    <n v="336723000000"/>
    <n v="76.87"/>
    <n v="69.95"/>
    <n v="7684.1589999999997"/>
    <n v="-6.92"/>
    <n v="-9.8930000000000007"/>
    <n v="208.452"/>
    <n v="121.423"/>
    <n v="22898.898000000001"/>
    <n v="68.037000000000006"/>
    <n v="39.566000000000003"/>
    <n v="0.249"/>
    <n v="124.502"/>
    <n v="7.47"/>
    <n v="9.718"/>
    <n v="69.400000000000006"/>
    <n v="90.281999999999996"/>
    <n v="33816.671999999999"/>
    <n v="44.84"/>
    <n v="525158000000"/>
  </r>
  <r>
    <x v="5"/>
    <x v="23"/>
    <s v="ISR"/>
    <x v="0"/>
    <s v="High income"/>
    <n v="9256311"/>
    <n v="341591000000"/>
    <n v="77.430000000000007"/>
    <n v="70.5"/>
    <n v="7616.4250000000002"/>
    <n v="-6.93"/>
    <n v="-9.83"/>
    <n v="198.03800000000001"/>
    <n v="105.032"/>
    <n v="21394.888999999999"/>
    <n v="70.644000000000005"/>
    <n v="37.112000000000002"/>
    <n v="0.249"/>
    <n v="120.645"/>
    <n v="9.1300000000000008"/>
    <n v="11.791"/>
    <n v="68.3"/>
    <n v="88.209000000000003"/>
    <n v="30723.857"/>
    <n v="43.27"/>
    <n v="513393000000"/>
  </r>
  <r>
    <x v="6"/>
    <x v="0"/>
    <s v="JOR"/>
    <x v="0"/>
    <s v="Upper middle income"/>
    <n v="5386945"/>
    <n v="35825242090"/>
    <n v="7.37"/>
    <n v="7.79"/>
    <n v="1446.0889999999999"/>
    <n v="0.42"/>
    <n v="5.3920000000000003"/>
    <n v="3.145"/>
    <n v="0.871"/>
    <n v="583.87400000000002"/>
    <n v="10.041"/>
    <n v="6.2249999999999996"/>
    <n v="2.5999999999999999E-2"/>
    <n v="29.591000000000001"/>
    <n v="0.04"/>
    <n v="0.54300000000000004"/>
    <n v="7.33"/>
    <n v="99.456999999999994"/>
    <n v="12299.419"/>
    <n v="4.8499999999999996"/>
    <n v="8460789845"/>
  </r>
  <r>
    <x v="6"/>
    <x v="1"/>
    <s v="JOR"/>
    <x v="0"/>
    <s v="Upper middle income"/>
    <n v="5498900"/>
    <n v="38405924481"/>
    <n v="7.54"/>
    <n v="7.8"/>
    <n v="1418.4659999999999"/>
    <n v="0.26"/>
    <n v="3.3330000000000002"/>
    <n v="3.145"/>
    <n v="0.90600000000000003"/>
    <n v="571.98699999999997"/>
    <n v="10.212"/>
    <n v="6.3310000000000004"/>
    <n v="2.5999999999999999E-2"/>
    <n v="30.206"/>
    <n v="0.04"/>
    <n v="0.53100000000000003"/>
    <n v="7.5"/>
    <n v="99.468999999999994"/>
    <n v="11567.228999999999"/>
    <n v="4.96"/>
    <n v="8975814653"/>
  </r>
  <r>
    <x v="6"/>
    <x v="2"/>
    <s v="JOR"/>
    <x v="0"/>
    <s v="Upper middle income"/>
    <n v="5616077"/>
    <n v="41327374100"/>
    <n v="8.1199999999999992"/>
    <n v="8.44"/>
    <n v="1502.828"/>
    <n v="0.32"/>
    <n v="3.7909999999999999"/>
    <n v="3.3620000000000001"/>
    <n v="0.8"/>
    <n v="598.67700000000002"/>
    <n v="8.3740000000000006"/>
    <n v="5.1920000000000002"/>
    <n v="1.2999999999999999E-2"/>
    <n v="30.849"/>
    <n v="0.05"/>
    <n v="0.61599999999999999"/>
    <n v="8.07"/>
    <n v="99.384"/>
    <n v="11879.504000000001"/>
    <n v="5.33"/>
    <n v="9582510578"/>
  </r>
  <r>
    <x v="6"/>
    <x v="3"/>
    <s v="JOR"/>
    <x v="0"/>
    <s v="Upper middle income"/>
    <n v="5741837"/>
    <n v="43669159351"/>
    <n v="8.0299999999999994"/>
    <n v="9"/>
    <n v="1567.443"/>
    <n v="0.97"/>
    <n v="10.778"/>
    <n v="3.3620000000000001"/>
    <n v="0.88200000000000001"/>
    <n v="585.56399999999996"/>
    <n v="9.34"/>
    <n v="5.7910000000000004"/>
    <n v="1.2999999999999999E-2"/>
    <n v="31.54"/>
    <n v="0.05"/>
    <n v="0.623"/>
    <n v="7.98"/>
    <n v="99.376999999999995"/>
    <n v="12693.692999999999"/>
    <n v="5.28"/>
    <n v="10195627645"/>
  </r>
  <r>
    <x v="6"/>
    <x v="4"/>
    <s v="JOR"/>
    <x v="0"/>
    <s v="Upper middle income"/>
    <n v="5882066"/>
    <n v="47936969925"/>
    <n v="8.9600000000000009"/>
    <n v="9.75"/>
    <n v="1657.5809999999999"/>
    <n v="0.79"/>
    <n v="8.1029999999999998"/>
    <n v="3.3620000000000001"/>
    <n v="5.282"/>
    <n v="571.60400000000004"/>
    <n v="50.112000000000002"/>
    <n v="31.068999999999999"/>
    <n v="1.2999999999999999E-2"/>
    <n v="32.31"/>
    <n v="0.06"/>
    <n v="0.67"/>
    <n v="8.9"/>
    <n v="99.33"/>
    <n v="13459.61"/>
    <n v="6.01"/>
    <n v="11411706629"/>
  </r>
  <r>
    <x v="6"/>
    <x v="5"/>
    <s v="JOR"/>
    <x v="0"/>
    <s v="Upper middle income"/>
    <n v="6029597"/>
    <n v="52217618202"/>
    <n v="9.65"/>
    <n v="10.39"/>
    <n v="1723.1669999999999"/>
    <n v="0.74"/>
    <n v="7.1219999999999999"/>
    <n v="3.0369999999999999"/>
    <n v="6.2350000000000003"/>
    <n v="503.65499999999997"/>
    <n v="54.921999999999997"/>
    <n v="34.052"/>
    <n v="1.2999999999999999E-2"/>
    <n v="33.121000000000002"/>
    <n v="0.06"/>
    <n v="0.622"/>
    <n v="9.59"/>
    <n v="99.378"/>
    <n v="14255.92"/>
    <n v="6.49"/>
    <n v="12588998590"/>
  </r>
  <r>
    <x v="6"/>
    <x v="6"/>
    <s v="JOR"/>
    <x v="0"/>
    <s v="Upper middle income"/>
    <n v="6427377"/>
    <n v="59977821392"/>
    <n v="11.12"/>
    <n v="11.58"/>
    <n v="1801.6679999999999"/>
    <n v="0.46"/>
    <n v="3.972"/>
    <n v="3.4710000000000001"/>
    <n v="9.1880000000000006"/>
    <n v="539.98299999999995"/>
    <n v="70.233999999999995"/>
    <n v="43.545000000000002"/>
    <n v="1.2999999999999999E-2"/>
    <n v="35.305999999999997"/>
    <n v="0.06"/>
    <n v="0.54"/>
    <n v="11.06"/>
    <n v="99.46"/>
    <n v="13830.34"/>
    <n v="7.55"/>
    <n v="15056981664"/>
  </r>
  <r>
    <x v="6"/>
    <x v="7"/>
    <s v="JOR"/>
    <x v="0"/>
    <s v="Upper middle income"/>
    <n v="6827235"/>
    <n v="68285595085"/>
    <n v="12.83"/>
    <n v="12.86"/>
    <n v="1883.6320000000001"/>
    <n v="0.03"/>
    <n v="0.23300000000000001"/>
    <n v="2.17"/>
    <n v="12.446999999999999"/>
    <n v="317.875"/>
    <n v="82.462999999999994"/>
    <n v="51.127000000000002"/>
    <n v="1.2999999999999999E-2"/>
    <n v="37.502000000000002"/>
    <n v="7.0000000000000007E-2"/>
    <n v="0.54600000000000004"/>
    <n v="12.76"/>
    <n v="99.453999999999994"/>
    <n v="12519.004000000001"/>
    <n v="8.76"/>
    <n v="17110437236"/>
  </r>
  <r>
    <x v="6"/>
    <x v="8"/>
    <s v="JOR"/>
    <x v="0"/>
    <s v="Upper middle income"/>
    <n v="6989874"/>
    <n v="72788636146"/>
    <n v="14.15"/>
    <n v="14.37"/>
    <n v="2055.8310000000001"/>
    <n v="0.22"/>
    <n v="1.5309999999999999"/>
    <n v="1.823"/>
    <n v="13.952999999999999"/>
    <n v="260.80200000000002"/>
    <n v="83.816000000000003"/>
    <n v="51.966000000000001"/>
    <n v="1.2999999999999999E-2"/>
    <n v="38.396000000000001"/>
    <n v="7.0000000000000007E-2"/>
    <n v="0.495"/>
    <n v="14.08"/>
    <n v="99.504999999999995"/>
    <n v="11778.231"/>
    <n v="9.68"/>
    <n v="25651620831"/>
  </r>
  <r>
    <x v="6"/>
    <x v="9"/>
    <s v="JOR"/>
    <x v="0"/>
    <s v="Upper middle income"/>
    <n v="7141763"/>
    <n v="76172493182"/>
    <n v="14.28"/>
    <n v="14.52"/>
    <n v="2033.1110000000001"/>
    <n v="0.24"/>
    <n v="1.653"/>
    <n v="1.91"/>
    <n v="15.282"/>
    <n v="267.41000000000003"/>
    <n v="90.965999999999994"/>
    <n v="56.399000000000001"/>
    <n v="1.2999999999999999E-2"/>
    <n v="39.229999999999997"/>
    <n v="7.0000000000000007E-2"/>
    <n v="0.49"/>
    <n v="14.21"/>
    <n v="99.51"/>
    <n v="11990.046"/>
    <n v="9.8000000000000007"/>
    <n v="27462496197"/>
  </r>
  <r>
    <x v="6"/>
    <x v="10"/>
    <s v="JOR"/>
    <x v="0"/>
    <s v="Upper middle income"/>
    <n v="7297046"/>
    <n v="77493873619"/>
    <n v="14.78"/>
    <n v="15.39"/>
    <n v="2109.0729999999999"/>
    <n v="0.61"/>
    <n v="3.964"/>
    <n v="1.91"/>
    <n v="12.375999999999999"/>
    <n v="261.72000000000003"/>
    <n v="71.177000000000007"/>
    <n v="44.13"/>
    <n v="1.2999999999999999E-2"/>
    <n v="40.082999999999998"/>
    <n v="7.0000000000000007E-2"/>
    <n v="0.47399999999999998"/>
    <n v="14.71"/>
    <n v="99.525999999999996"/>
    <n v="12214.337"/>
    <n v="10.050000000000001"/>
    <n v="30202773521"/>
  </r>
  <r>
    <x v="6"/>
    <x v="11"/>
    <s v="JOR"/>
    <x v="0"/>
    <s v="Upper middle income"/>
    <n v="7480431"/>
    <n v="79441955134"/>
    <n v="14.64"/>
    <n v="16.29"/>
    <n v="2177.6819999999998"/>
    <n v="1.65"/>
    <n v="10.129"/>
    <n v="1.7270000000000001"/>
    <n v="4.6589999999999998"/>
    <n v="230.934"/>
    <n v="27.048999999999999"/>
    <n v="16.77"/>
    <n v="1.0999999999999999E-2"/>
    <n v="41.09"/>
    <n v="0.06"/>
    <n v="0.41"/>
    <n v="14.58"/>
    <n v="99.59"/>
    <n v="12479.021000000001"/>
    <n v="9.73"/>
    <n v="32640291549"/>
  </r>
  <r>
    <x v="6"/>
    <x v="12"/>
    <s v="JOR"/>
    <x v="0"/>
    <s v="Upper middle income"/>
    <n v="7587133"/>
    <n v="81371594307"/>
    <n v="16.59"/>
    <n v="17.27"/>
    <n v="2276.2220000000002"/>
    <n v="0.68"/>
    <n v="3.9369999999999998"/>
    <n v="1.5629999999999999"/>
    <n v="3.6230000000000002"/>
    <n v="205.947"/>
    <n v="18.565000000000001"/>
    <n v="11.51"/>
    <n v="1.4E-2"/>
    <n v="41.676000000000002"/>
    <n v="7.0000000000000007E-2"/>
    <n v="0.42199999999999999"/>
    <n v="16.52"/>
    <n v="99.578000000000003"/>
    <n v="13055.924999999999"/>
    <n v="10.97"/>
    <n v="34854017887"/>
  </r>
  <r>
    <x v="6"/>
    <x v="13"/>
    <s v="JOR"/>
    <x v="0"/>
    <s v="Upper middle income"/>
    <n v="7991812"/>
    <n v="83495396478"/>
    <n v="17.260000000000002"/>
    <n v="17.579999999999998"/>
    <n v="2199.7510000000002"/>
    <n v="0.32"/>
    <n v="1.82"/>
    <n v="1.4410000000000001"/>
    <n v="5.1059999999999999"/>
    <n v="180.31200000000001"/>
    <n v="25.145"/>
    <n v="15.59"/>
    <n v="1.4E-2"/>
    <n v="43.899000000000001"/>
    <n v="0.06"/>
    <n v="0.34799999999999998"/>
    <n v="17.2"/>
    <n v="99.652000000000001"/>
    <n v="12308.972"/>
    <n v="11.47"/>
    <n v="37873362958"/>
  </r>
  <r>
    <x v="6"/>
    <x v="14"/>
    <s v="JOR"/>
    <x v="0"/>
    <s v="Upper middle income"/>
    <n v="8791715"/>
    <n v="86320876820"/>
    <n v="18.27"/>
    <n v="18.64"/>
    <n v="2120.1779999999999"/>
    <n v="0.37"/>
    <n v="1.9850000000000001"/>
    <n v="1.2589999999999999"/>
    <n v="1.5289999999999999"/>
    <n v="143.17099999999999"/>
    <n v="7.1150000000000002"/>
    <n v="4.4109999999999996"/>
    <n v="1.4E-2"/>
    <n v="48.292999999999999"/>
    <n v="7.0000000000000007E-2"/>
    <n v="0.38300000000000001"/>
    <n v="18.2"/>
    <n v="99.617000000000004"/>
    <n v="11480.571"/>
    <n v="12.02"/>
    <n v="40535098592"/>
  </r>
  <r>
    <x v="6"/>
    <x v="15"/>
    <s v="JOR"/>
    <x v="0"/>
    <s v="Upper middle income"/>
    <n v="9544730"/>
    <n v="88475445240"/>
    <n v="19.059999999999999"/>
    <n v="19.61"/>
    <n v="2054.5369999999998"/>
    <n v="0.55000000000000004"/>
    <n v="2.8050000000000002"/>
    <n v="1.3109999999999999"/>
    <n v="10.835000000000001"/>
    <n v="137.333"/>
    <n v="48.320999999999998"/>
    <n v="29.959"/>
    <n v="1.4E-2"/>
    <n v="52.429000000000002"/>
    <n v="0.23"/>
    <n v="1.2070000000000001"/>
    <n v="18.829999999999998"/>
    <n v="98.793000000000006"/>
    <n v="11395.704"/>
    <n v="12.71"/>
    <n v="42394049296"/>
  </r>
  <r>
    <x v="6"/>
    <x v="16"/>
    <s v="JOR"/>
    <x v="0"/>
    <s v="Upper middle income"/>
    <n v="10006369"/>
    <n v="90239641982"/>
    <n v="19.670000000000002"/>
    <n v="19.96"/>
    <n v="1994.729"/>
    <n v="0.28999999999999998"/>
    <n v="1.4530000000000001"/>
    <n v="1.111"/>
    <n v="19.577000000000002"/>
    <n v="111.044"/>
    <n v="84.596000000000004"/>
    <n v="52.45"/>
    <n v="1.4E-2"/>
    <n v="54.965000000000003"/>
    <n v="0.86"/>
    <n v="4.3719999999999999"/>
    <n v="18.809999999999999"/>
    <n v="95.628"/>
    <n v="11480.458000000001"/>
    <n v="12.98"/>
    <n v="43688498732"/>
  </r>
  <r>
    <x v="6"/>
    <x v="17"/>
    <s v="JOR"/>
    <x v="0"/>
    <s v="Upper middle income"/>
    <n v="10234227"/>
    <n v="92472176531"/>
    <n v="20.78"/>
    <n v="20.77"/>
    <n v="2029.4639999999999"/>
    <n v="-0.01"/>
    <n v="-4.8000000000000001E-2"/>
    <n v="1.0169999999999999"/>
    <n v="19.481999999999999"/>
    <n v="99.372"/>
    <n v="79.691999999999993"/>
    <n v="49.408999999999999"/>
    <n v="1.4999999999999999E-2"/>
    <n v="56.216999999999999"/>
    <n v="1.4"/>
    <n v="6.7370000000000001"/>
    <n v="19.38"/>
    <n v="93.263000000000005"/>
    <n v="11529.927"/>
    <n v="13.37"/>
    <n v="45535614366"/>
  </r>
  <r>
    <x v="6"/>
    <x v="18"/>
    <s v="JOR"/>
    <x v="0"/>
    <s v="Upper middle income"/>
    <n v="10462310"/>
    <n v="94246709824"/>
    <n v="20.37"/>
    <n v="20.46"/>
    <n v="1955.5909999999999"/>
    <n v="0.09"/>
    <n v="0.44"/>
    <n v="0.93100000000000005"/>
    <n v="19.940999999999999"/>
    <n v="88.986000000000004"/>
    <n v="83.210999999999999"/>
    <n v="51.591000000000001"/>
    <n v="1.4999999999999999E-2"/>
    <n v="57.47"/>
    <n v="2.16"/>
    <n v="10.603999999999999"/>
    <n v="18.21"/>
    <n v="89.396000000000001"/>
    <n v="10799.418"/>
    <n v="12.65"/>
    <n v="47435850423"/>
  </r>
  <r>
    <x v="6"/>
    <x v="19"/>
    <s v="JOR"/>
    <x v="0"/>
    <s v="Upper middle income"/>
    <n v="10671893"/>
    <n v="96062846478"/>
    <n v="20.53"/>
    <n v="20.67"/>
    <n v="1936.864"/>
    <n v="0.14000000000000001"/>
    <n v="0.67700000000000005"/>
    <n v="0.85299999999999998"/>
    <n v="19.600000000000001"/>
    <n v="79.930000000000007"/>
    <n v="81.150000000000006"/>
    <n v="50.313000000000002"/>
    <n v="1.6E-2"/>
    <n v="58.621000000000002"/>
    <n v="2.96"/>
    <n v="14.417999999999999"/>
    <n v="17.57"/>
    <n v="85.581999999999994"/>
    <n v="10373.842000000001"/>
    <n v="12.25"/>
    <n v="48640273803"/>
  </r>
  <r>
    <x v="6"/>
    <x v="20"/>
    <s v="JOR"/>
    <x v="0"/>
    <s v="Upper middle income"/>
    <n v="10865232"/>
    <n v="94554674762"/>
    <n v="20.7"/>
    <n v="20.89"/>
    <n v="1922.646"/>
    <n v="0.19"/>
    <n v="0.91"/>
    <n v="0.78100000000000003"/>
    <n v="18.765000000000001"/>
    <n v="71.881"/>
    <n v="77.052999999999997"/>
    <n v="47.773000000000003"/>
    <n v="1.7000000000000001E-2"/>
    <n v="59.683"/>
    <n v="3.92"/>
    <n v="18.937000000000001"/>
    <n v="16.78"/>
    <n v="81.063000000000002"/>
    <n v="9092.5390000000007"/>
    <n v="11.73"/>
    <n v="47931770986"/>
  </r>
  <r>
    <x v="6"/>
    <x v="21"/>
    <s v="JOR"/>
    <x v="0"/>
    <s v="Upper middle income"/>
    <n v="11066356"/>
    <n v="96661338596"/>
    <n v="21.36"/>
    <n v="21.58"/>
    <n v="1950.0550000000001"/>
    <n v="0.22"/>
    <n v="1.0189999999999999"/>
    <n v="0.71499999999999997"/>
    <n v="18.259"/>
    <n v="64.61"/>
    <n v="72.659000000000006"/>
    <n v="45.048999999999999"/>
    <n v="1.7999999999999999E-2"/>
    <n v="60.787999999999997"/>
    <n v="4.91"/>
    <n v="22.986999999999998"/>
    <n v="16.45"/>
    <n v="77.013000000000005"/>
    <n v="9195.3230000000003"/>
    <n v="11.54"/>
    <n v="50702940986"/>
  </r>
  <r>
    <x v="6"/>
    <x v="22"/>
    <s v="JOR"/>
    <x v="0"/>
    <s v="Upper middle income"/>
    <n v="11256269"/>
    <n v="99281825499"/>
    <n v="22.57"/>
    <n v="22.64"/>
    <n v="2011.3240000000001"/>
    <n v="7.0000000000000007E-2"/>
    <n v="0.309"/>
    <n v="0.65400000000000003"/>
    <n v="19.399999999999999"/>
    <n v="58.100999999999999"/>
    <n v="73.061999999999998"/>
    <n v="45.298000000000002"/>
    <n v="1.9E-2"/>
    <n v="61.831000000000003"/>
    <n v="5.22"/>
    <n v="23.128"/>
    <n v="17.350000000000001"/>
    <n v="76.872"/>
    <n v="9883.8700000000008"/>
    <n v="12.17"/>
    <n v="53516930141"/>
  </r>
  <r>
    <x v="6"/>
    <x v="23"/>
    <s v="JOR"/>
    <x v="0"/>
    <s v="Upper middle income"/>
    <n v="11439220"/>
    <n v="107276000000"/>
    <n v="23.77"/>
    <n v="23.84"/>
    <n v="2084.058"/>
    <n v="7.0000000000000007E-2"/>
    <n v="0.29399999999999998"/>
    <n v="0.59899999999999998"/>
    <n v="17.259"/>
    <n v="52.363999999999997"/>
    <n v="61.716000000000001"/>
    <n v="38.264000000000003"/>
    <n v="0.02"/>
    <n v="62.835999999999999"/>
    <n v="5.22"/>
    <n v="21.96"/>
    <n v="18.55"/>
    <n v="78.040000000000006"/>
    <n v="9644.6260000000002"/>
    <n v="12.89"/>
    <n v="56123472113"/>
  </r>
  <r>
    <x v="7"/>
    <x v="0"/>
    <s v="LBY"/>
    <x v="0"/>
    <s v="Upper middle income"/>
    <n v="5305020"/>
    <n v="49983450587"/>
    <n v="15.5"/>
    <n v="15.5"/>
    <n v="2921.761"/>
    <n v="0"/>
    <n v="0"/>
    <n v="55.86"/>
    <n v="4"/>
    <n v="10529.648999999999"/>
    <n v="21.934999999999999"/>
    <n v="13.6"/>
    <n v="808.26900000000001"/>
    <n v="136.22200000000001"/>
    <n v="0"/>
    <n v="0"/>
    <n v="15.5"/>
    <n v="100"/>
    <n v="40140.523000000001"/>
    <n v="10.97"/>
    <n v="38270954138"/>
  </r>
  <r>
    <x v="7"/>
    <x v="1"/>
    <s v="LBY"/>
    <x v="0"/>
    <s v="Upper middle income"/>
    <n v="5403639"/>
    <n v="54225701449"/>
    <n v="16.11"/>
    <n v="16.11"/>
    <n v="2981.3240000000001"/>
    <n v="0"/>
    <n v="0"/>
    <n v="58.71"/>
    <n v="4.1760000000000002"/>
    <n v="10864.9"/>
    <n v="22.036000000000001"/>
    <n v="13.662000000000001"/>
    <n v="779.80100000000004"/>
    <n v="138.755"/>
    <n v="0"/>
    <n v="0"/>
    <n v="16.11"/>
    <n v="100"/>
    <n v="39725.163999999997"/>
    <n v="11.4"/>
    <n v="34112093927"/>
  </r>
  <r>
    <x v="7"/>
    <x v="2"/>
    <s v="LBY"/>
    <x v="0"/>
    <s v="Upper middle income"/>
    <n v="5508412"/>
    <n v="57785797189"/>
    <n v="17.53"/>
    <n v="17.53"/>
    <n v="3182.4059999999999"/>
    <n v="0"/>
    <n v="0"/>
    <n v="56.05"/>
    <n v="4.3529999999999998"/>
    <n v="10175.347"/>
    <n v="21.106999999999999"/>
    <n v="13.086"/>
    <n v="750.76199999999994"/>
    <n v="141.44499999999999"/>
    <n v="0"/>
    <n v="0"/>
    <n v="17.53"/>
    <n v="100"/>
    <n v="40171.858999999997"/>
    <n v="12.37"/>
    <n v="20481889764"/>
  </r>
  <r>
    <x v="7"/>
    <x v="3"/>
    <s v="LBY"/>
    <x v="0"/>
    <s v="Upper middle income"/>
    <n v="5619405"/>
    <n v="70475273789"/>
    <n v="18.95"/>
    <n v="18.95"/>
    <n v="3372.2429999999999"/>
    <n v="0"/>
    <n v="0"/>
    <n v="52.25"/>
    <n v="4.5410000000000004"/>
    <n v="9298.1380000000008"/>
    <n v="20.369"/>
    <n v="12.629"/>
    <n v="811.53700000000003"/>
    <n v="144.29499999999999"/>
    <n v="0"/>
    <n v="0"/>
    <n v="18.95"/>
    <n v="100"/>
    <n v="38797.038999999997"/>
    <n v="13.35"/>
    <n v="26265625000"/>
  </r>
  <r>
    <x v="7"/>
    <x v="4"/>
    <s v="LBY"/>
    <x v="0"/>
    <s v="Upper middle income"/>
    <n v="5736696"/>
    <n v="79415538130"/>
    <n v="20.2"/>
    <n v="20.2"/>
    <n v="3521.1909999999998"/>
    <n v="0"/>
    <n v="0"/>
    <n v="76.569999999999993"/>
    <n v="4.5060000000000002"/>
    <n v="13347.404"/>
    <n v="18.96"/>
    <n v="11.755000000000001"/>
    <n v="889.99699999999996"/>
    <n v="147.30699999999999"/>
    <n v="0"/>
    <n v="0"/>
    <n v="20.2"/>
    <n v="100"/>
    <n v="38933.093999999997"/>
    <n v="14.16"/>
    <n v="33122307692"/>
  </r>
  <r>
    <x v="7"/>
    <x v="5"/>
    <s v="LBY"/>
    <x v="0"/>
    <s v="Upper middle income"/>
    <n v="5858793"/>
    <n v="94523140632"/>
    <n v="22.32"/>
    <n v="22.37"/>
    <n v="3818.1930000000002"/>
    <n v="0.05"/>
    <n v="0.224"/>
    <n v="107.35"/>
    <n v="7.0350000000000001"/>
    <n v="18322.886999999999"/>
    <n v="26.792000000000002"/>
    <n v="16.611000000000001"/>
    <n v="953.26900000000001"/>
    <n v="150.44200000000001"/>
    <n v="0"/>
    <n v="0"/>
    <n v="22.32"/>
    <n v="100"/>
    <n v="39424.711000000003"/>
    <n v="16.04"/>
    <n v="47334691241"/>
  </r>
  <r>
    <x v="7"/>
    <x v="6"/>
    <s v="LBY"/>
    <x v="0"/>
    <s v="Upper middle income"/>
    <n v="5980212"/>
    <n v="108873000000"/>
    <n v="24.75"/>
    <n v="24.78"/>
    <n v="4143.6660000000002"/>
    <n v="0.03"/>
    <n v="0.121"/>
    <n v="125.35299999999999"/>
    <n v="11.529"/>
    <n v="20961.213"/>
    <n v="39.595999999999997"/>
    <n v="24.55"/>
    <n v="983.53700000000003"/>
    <n v="153.56"/>
    <n v="0"/>
    <n v="0"/>
    <n v="24.75"/>
    <n v="100"/>
    <n v="35416.366999999998"/>
    <n v="18.510000000000002"/>
    <n v="60094231607"/>
  </r>
  <r>
    <x v="7"/>
    <x v="7"/>
    <s v="LBY"/>
    <x v="0"/>
    <s v="Upper middle income"/>
    <n v="6104381"/>
    <n v="123716000000"/>
    <n v="26.23"/>
    <n v="26.2"/>
    <n v="4292"/>
    <n v="-0.03"/>
    <n v="-0.115"/>
    <n v="145.16"/>
    <n v="13.576000000000001"/>
    <n v="23779.641"/>
    <n v="43.994999999999997"/>
    <n v="27.277000000000001"/>
    <n v="1005.208"/>
    <n v="156.74799999999999"/>
    <n v="0"/>
    <n v="0"/>
    <n v="26.23"/>
    <n v="100"/>
    <n v="34466.788999999997"/>
    <n v="19.88"/>
    <n v="68032978391"/>
  </r>
  <r>
    <x v="7"/>
    <x v="8"/>
    <s v="LBY"/>
    <x v="0"/>
    <s v="Upper middle income"/>
    <n v="6235433"/>
    <n v="153727000000"/>
    <n v="28.67"/>
    <n v="28.62"/>
    <n v="4589.8980000000001"/>
    <n v="-0.05"/>
    <n v="-0.17499999999999999"/>
    <n v="151.05000000000001"/>
    <n v="13.824"/>
    <n v="24224.460999999999"/>
    <n v="40.984000000000002"/>
    <n v="25.41"/>
    <n v="990.91700000000003"/>
    <n v="160.114"/>
    <n v="0"/>
    <n v="0"/>
    <n v="28.67"/>
    <n v="100"/>
    <n v="35030.726999999999"/>
    <n v="21.53"/>
    <n v="86710767415"/>
  </r>
  <r>
    <x v="7"/>
    <x v="9"/>
    <s v="LBY"/>
    <x v="0"/>
    <s v="Upper middle income"/>
    <n v="6366689"/>
    <n v="165560000000"/>
    <n v="30.38"/>
    <n v="30.35"/>
    <n v="4766.9989999999998"/>
    <n v="-0.03"/>
    <n v="-9.9000000000000005E-2"/>
    <n v="151.05000000000001"/>
    <n v="14.012"/>
    <n v="23725.048999999999"/>
    <n v="39.203000000000003"/>
    <n v="24.306000000000001"/>
    <n v="913.58799999999997"/>
    <n v="163.48400000000001"/>
    <n v="0"/>
    <n v="0"/>
    <n v="30.38"/>
    <n v="100"/>
    <n v="39264.839999999997"/>
    <n v="22.69"/>
    <n v="60808562033"/>
  </r>
  <r>
    <x v="7"/>
    <x v="10"/>
    <s v="LBY"/>
    <x v="0"/>
    <s v="Upper middle income"/>
    <n v="6497837"/>
    <n v="187529000000"/>
    <n v="32.56"/>
    <n v="32.479999999999997"/>
    <n v="4998.5860000000002"/>
    <n v="-0.08"/>
    <n v="-0.246"/>
    <n v="159.733"/>
    <n v="18.047000000000001"/>
    <n v="24582.488000000001"/>
    <n v="47.113"/>
    <n v="29.21"/>
    <n v="949.31600000000003"/>
    <n v="166.852"/>
    <n v="0.01"/>
    <n v="3.1E-2"/>
    <n v="32.549999999999997"/>
    <n v="99.968999999999994"/>
    <n v="40569.050999999999"/>
    <n v="24.89"/>
    <n v="75380825062"/>
  </r>
  <r>
    <x v="7"/>
    <x v="11"/>
    <s v="LBY"/>
    <x v="0"/>
    <s v="Upper middle income"/>
    <n v="6343210"/>
    <n v="79210078190"/>
    <n v="26.01"/>
    <n v="25.95"/>
    <n v="4090.989"/>
    <n v="-0.06"/>
    <n v="-0.23100000000000001"/>
    <n v="74.622"/>
    <n v="18.294"/>
    <n v="11764.153"/>
    <n v="59.784999999999997"/>
    <n v="37.067"/>
    <n v="278.37200000000001"/>
    <n v="162.881"/>
    <n v="0.01"/>
    <n v="3.7999999999999999E-2"/>
    <n v="26"/>
    <n v="99.962000000000003"/>
    <n v="27274.67"/>
    <n v="20.64"/>
    <n v="48169263294"/>
  </r>
  <r>
    <x v="7"/>
    <x v="12"/>
    <s v="LBY"/>
    <x v="0"/>
    <s v="Upper middle income"/>
    <n v="6179327"/>
    <n v="147986000000"/>
    <n v="34.29"/>
    <n v="34.340000000000003"/>
    <n v="5557.24"/>
    <n v="0.05"/>
    <n v="0.14599999999999999"/>
    <n v="115.9"/>
    <n v="24.388000000000002"/>
    <n v="18756.088"/>
    <n v="60.454999999999998"/>
    <n v="37.481999999999999"/>
    <n v="810.21500000000003"/>
    <n v="158.673"/>
    <n v="0.01"/>
    <n v="2.9000000000000001E-2"/>
    <n v="34.28"/>
    <n v="99.971000000000004"/>
    <n v="34885.809000000001"/>
    <n v="27.26"/>
    <n v="92540938129"/>
  </r>
  <r>
    <x v="7"/>
    <x v="13"/>
    <s v="LBY"/>
    <x v="0"/>
    <s v="Upper middle income"/>
    <n v="6304636"/>
    <n v="121351000000"/>
    <n v="37.93"/>
    <n v="37.99"/>
    <n v="6025.7250000000004"/>
    <n v="0.06"/>
    <n v="0.158"/>
    <n v="121.6"/>
    <n v="26.047000000000001"/>
    <n v="19287.395"/>
    <n v="58.371000000000002"/>
    <n v="36.19"/>
    <n v="554.65"/>
    <n v="161.89099999999999"/>
    <n v="0.01"/>
    <n v="2.5999999999999999E-2"/>
    <n v="37.92"/>
    <n v="99.974000000000004"/>
    <n v="36775.57"/>
    <n v="29.97"/>
    <n v="75351107029"/>
  </r>
  <r>
    <x v="7"/>
    <x v="14"/>
    <s v="LBY"/>
    <x v="0"/>
    <s v="Upper middle income"/>
    <n v="6427260"/>
    <n v="93388346336"/>
    <n v="37.729999999999997"/>
    <n v="37.82"/>
    <n v="5884.3119999999999"/>
    <n v="0.09"/>
    <n v="0.23799999999999999"/>
    <n v="118.27500000000001"/>
    <n v="23.835000000000001"/>
    <n v="18402.088"/>
    <n v="53.697000000000003"/>
    <n v="33.292000000000002"/>
    <n v="269.78500000000003"/>
    <n v="165.03899999999999"/>
    <n v="0.01"/>
    <n v="2.7E-2"/>
    <n v="37.72"/>
    <n v="99.974000000000004"/>
    <n v="35231.008000000002"/>
    <n v="29.42"/>
    <n v="57372355592"/>
  </r>
  <r>
    <x v="7"/>
    <x v="15"/>
    <s v="LBY"/>
    <x v="0"/>
    <s v="Upper middle income"/>
    <n v="6531825"/>
    <n v="92601079752"/>
    <n v="37.51"/>
    <n v="37.51"/>
    <n v="5742.652"/>
    <n v="0"/>
    <n v="0"/>
    <n v="129.04499999999999"/>
    <n v="23.835000000000001"/>
    <n v="19756.416000000001"/>
    <n v="54.012"/>
    <n v="33.487000000000002"/>
    <n v="225.18299999999999"/>
    <n v="167.72399999999999"/>
    <n v="0.01"/>
    <n v="2.7E-2"/>
    <n v="37.5"/>
    <n v="99.972999999999999"/>
    <n v="27587.34"/>
    <n v="29.27"/>
    <n v="48717501321"/>
  </r>
  <r>
    <x v="7"/>
    <x v="16"/>
    <s v="LBY"/>
    <x v="0"/>
    <s v="Upper middle income"/>
    <n v="6632130"/>
    <n v="91220396354"/>
    <n v="31.42"/>
    <n v="31.8"/>
    <n v="4794.8389999999999"/>
    <n v="0.38"/>
    <n v="1.1950000000000001"/>
    <n v="127.145"/>
    <n v="26.823"/>
    <n v="19171.006000000001"/>
    <n v="72.564999999999998"/>
    <n v="44.99"/>
    <n v="212.006"/>
    <n v="170.3"/>
    <n v="0.01"/>
    <n v="3.2000000000000001E-2"/>
    <n v="31.41"/>
    <n v="99.968000000000004"/>
    <n v="26594.118999999999"/>
    <n v="25.85"/>
    <n v="49912073701"/>
  </r>
  <r>
    <x v="7"/>
    <x v="17"/>
    <s v="LBY"/>
    <x v="0"/>
    <s v="Upper middle income"/>
    <n v="6738771"/>
    <n v="120860000000"/>
    <n v="33.28"/>
    <n v="33.58"/>
    <n v="4983.1049999999996"/>
    <n v="0.3"/>
    <n v="0.89300000000000002"/>
    <n v="141.79400000000001"/>
    <n v="26.859000000000002"/>
    <n v="21041.57"/>
    <n v="68.599999999999994"/>
    <n v="42.531999999999996"/>
    <n v="489.69799999999998"/>
    <n v="173.03800000000001"/>
    <n v="0.01"/>
    <n v="0.03"/>
    <n v="33.270000000000003"/>
    <n v="99.97"/>
    <n v="41165.112999999998"/>
    <n v="27.07"/>
    <n v="67157452182"/>
  </r>
  <r>
    <x v="7"/>
    <x v="18"/>
    <s v="LBY"/>
    <x v="0"/>
    <s v="Upper middle income"/>
    <n v="6849058"/>
    <n v="130457000000"/>
    <n v="34.18"/>
    <n v="34.65"/>
    <n v="5059.09"/>
    <n v="0.47"/>
    <n v="1.3560000000000001"/>
    <n v="139.79499999999999"/>
    <n v="26.364999999999998"/>
    <n v="20410.859"/>
    <n v="65.564999999999998"/>
    <n v="40.65"/>
    <n v="621.09799999999996"/>
    <n v="175.87"/>
    <n v="0.01"/>
    <n v="2.9000000000000001E-2"/>
    <n v="34.17"/>
    <n v="99.971000000000004"/>
    <n v="38450.116999999998"/>
    <n v="27.57"/>
    <n v="76686029772"/>
  </r>
  <r>
    <x v="7"/>
    <x v="19"/>
    <s v="LBY"/>
    <x v="0"/>
    <s v="Upper middle income"/>
    <n v="6951040"/>
    <n v="115851000000"/>
    <n v="34.630000000000003"/>
    <n v="35.409999999999997"/>
    <n v="5094.2020000000002"/>
    <n v="0.78"/>
    <n v="2.2029999999999998"/>
    <n v="160.47499999999999"/>
    <n v="27.353000000000002"/>
    <n v="23086.502"/>
    <n v="67.138000000000005"/>
    <n v="41.625999999999998"/>
    <n v="652.97299999999996"/>
    <n v="178.489"/>
    <n v="0.01"/>
    <n v="2.9000000000000001E-2"/>
    <n v="34.619999999999997"/>
    <n v="99.971000000000004"/>
    <n v="32330.232"/>
    <n v="28.05"/>
    <n v="69254496472"/>
  </r>
  <r>
    <x v="7"/>
    <x v="20"/>
    <s v="LBY"/>
    <x v="0"/>
    <s v="Upper middle income"/>
    <n v="7045403"/>
    <n v="81726075633"/>
    <n v="29.5"/>
    <n v="30.76"/>
    <n v="4365.9669999999996"/>
    <n v="1.26"/>
    <n v="4.0960000000000001"/>
    <n v="126.997"/>
    <n v="25.446999999999999"/>
    <n v="18025.528999999999"/>
    <n v="73.322000000000003"/>
    <n v="45.46"/>
    <n v="227.90700000000001"/>
    <n v="180.91200000000001"/>
    <n v="0.01"/>
    <n v="3.4000000000000002E-2"/>
    <n v="29.49"/>
    <n v="99.965999999999994"/>
    <n v="25440.333999999999"/>
    <n v="24.31"/>
    <n v="46854285441"/>
  </r>
  <r>
    <x v="7"/>
    <x v="21"/>
    <s v="LBY"/>
    <x v="0"/>
    <s v="Upper middle income"/>
    <n v="7135179"/>
    <n v="104883000000"/>
    <n v="34.79"/>
    <n v="35.57"/>
    <n v="4985.1589999999997"/>
    <n v="0.78"/>
    <n v="2.1930000000000001"/>
    <n v="152.61000000000001"/>
    <n v="31.306000000000001"/>
    <n v="21388.331999999999"/>
    <n v="76.486999999999995"/>
    <n v="47.421999999999997"/>
    <n v="683.33100000000002"/>
    <n v="183.21700000000001"/>
    <n v="0.01"/>
    <n v="2.9000000000000001E-2"/>
    <n v="34.78"/>
    <n v="99.971000000000004"/>
    <n v="28791.734"/>
    <n v="28.93"/>
    <n v="35217995647"/>
  </r>
  <r>
    <x v="7"/>
    <x v="22"/>
    <s v="LBY"/>
    <x v="0"/>
    <s v="Upper middle income"/>
    <n v="7223804"/>
    <n v="91444480945"/>
    <n v="35.11"/>
    <n v="35.83"/>
    <n v="4959.991"/>
    <n v="0.72"/>
    <n v="2.0089999999999999"/>
    <n v="145.596"/>
    <n v="31.411999999999999"/>
    <n v="20155.039000000001"/>
    <n v="76.046999999999997"/>
    <n v="47.149000000000001"/>
    <n v="603.02599999999995"/>
    <n v="185.49299999999999"/>
    <n v="0.01"/>
    <n v="2.8000000000000001E-2"/>
    <n v="35.1"/>
    <n v="99.971999999999994"/>
    <n v="30359.734"/>
    <n v="29.16"/>
    <n v="43246297922"/>
  </r>
  <r>
    <x v="7"/>
    <x v="23"/>
    <s v="LBY"/>
    <x v="0"/>
    <s v="Upper middle income"/>
    <n v="7305659"/>
    <n v="100337000000"/>
    <n v="33.75"/>
    <n v="33.75"/>
    <n v="4619.7070000000003"/>
    <n v="0"/>
    <n v="0"/>
    <n v="148.32499999999999"/>
    <n v="29.294"/>
    <n v="20302.812000000002"/>
    <n v="73.778000000000006"/>
    <n v="45.741999999999997"/>
    <n v="673.74099999999999"/>
    <n v="187.595"/>
    <n v="0.01"/>
    <n v="0.03"/>
    <n v="33.74"/>
    <n v="99.97"/>
    <n v="29554.363000000001"/>
    <n v="27.85"/>
    <n v="44027664915"/>
  </r>
  <r>
    <x v="8"/>
    <x v="0"/>
    <s v="MAR"/>
    <x v="0"/>
    <s v="Lower middle income"/>
    <n v="28423439"/>
    <n v="136639000000"/>
    <n v="13.7"/>
    <n v="16.03"/>
    <n v="563.971"/>
    <n v="2.33"/>
    <n v="14.535"/>
    <n v="0.54200000000000004"/>
    <n v="0.442"/>
    <n v="19.079000000000001"/>
    <n v="0"/>
    <n v="0.377"/>
    <n v="0.185"/>
    <n v="83.483000000000004"/>
    <n v="0.77"/>
    <n v="5.62"/>
    <n v="12.93"/>
    <n v="94.38"/>
    <n v="4132.6239999999998"/>
    <n v="10.4"/>
    <n v="43017455402"/>
  </r>
  <r>
    <x v="8"/>
    <x v="1"/>
    <s v="MAR"/>
    <x v="0"/>
    <s v="Lower middle income"/>
    <n v="28814646"/>
    <n v="146693000000"/>
    <n v="15.6"/>
    <n v="17.14"/>
    <n v="594.83600000000001"/>
    <n v="1.54"/>
    <n v="8.9849999999999994"/>
    <n v="0.54200000000000004"/>
    <n v="0.437"/>
    <n v="18.82"/>
    <n v="0"/>
    <n v="0.34499999999999997"/>
    <n v="0.246"/>
    <n v="83.637"/>
    <n v="1.07"/>
    <n v="6.859"/>
    <n v="14.53"/>
    <n v="93.141000000000005"/>
    <n v="4404.2"/>
    <n v="12"/>
    <n v="43831480208"/>
  </r>
  <r>
    <x v="8"/>
    <x v="2"/>
    <s v="MAR"/>
    <x v="0"/>
    <s v="Lower middle income"/>
    <n v="29198146"/>
    <n v="151386000000"/>
    <n v="15.1"/>
    <n v="16.47"/>
    <n v="564.077"/>
    <n v="1.37"/>
    <n v="8.3179999999999996"/>
    <n v="0.54200000000000004"/>
    <n v="0.55900000000000005"/>
    <n v="18.573"/>
    <n v="0"/>
    <n v="0.43099999999999999"/>
    <n v="0.16"/>
    <n v="87.036000000000001"/>
    <n v="1.03"/>
    <n v="6.8209999999999997"/>
    <n v="14.07"/>
    <n v="93.179000000000002"/>
    <n v="4455.4880000000003"/>
    <n v="11.56"/>
    <n v="47077192188"/>
  </r>
  <r>
    <x v="8"/>
    <x v="3"/>
    <s v="MAR"/>
    <x v="0"/>
    <s v="Lower middle income"/>
    <n v="29571415"/>
    <n v="160560000000"/>
    <n v="16.34"/>
    <n v="17.760000000000002"/>
    <n v="600.58000000000004"/>
    <n v="1.42"/>
    <n v="7.9950000000000001"/>
    <n v="0.54200000000000004"/>
    <n v="0.53600000000000003"/>
    <n v="18.338000000000001"/>
    <n v="0"/>
    <n v="0.41199999999999998"/>
    <n v="0.123"/>
    <n v="87.084000000000003"/>
    <n v="1.64"/>
    <n v="10.037000000000001"/>
    <n v="14.7"/>
    <n v="89.962999999999994"/>
    <n v="4411.3599999999997"/>
    <n v="12.01"/>
    <n v="58029363354"/>
  </r>
  <r>
    <x v="8"/>
    <x v="4"/>
    <s v="MAR"/>
    <x v="0"/>
    <s v="Lower middle income"/>
    <n v="29953021"/>
    <n v="168467000000"/>
    <n v="17.47"/>
    <n v="19"/>
    <n v="634.327"/>
    <n v="1.53"/>
    <n v="8.0530000000000008"/>
    <n v="0.434"/>
    <n v="0.68799999999999994"/>
    <n v="14.484"/>
    <n v="0.68700000000000006"/>
    <n v="0.46400000000000002"/>
    <n v="0.123"/>
    <n v="100.616"/>
    <n v="1.79"/>
    <n v="10.246"/>
    <n v="15.68"/>
    <n v="89.754000000000005"/>
    <n v="4959.8680000000004"/>
    <n v="12.8"/>
    <n v="66114145451"/>
  </r>
  <r>
    <x v="8"/>
    <x v="5"/>
    <s v="MAR"/>
    <x v="0"/>
    <s v="Lower middle income"/>
    <n v="30358145"/>
    <n v="174391000000"/>
    <n v="19.260000000000002"/>
    <n v="20.07"/>
    <n v="661.10799999999995"/>
    <n v="0.81"/>
    <n v="4.0359999999999996"/>
    <n v="0.495"/>
    <n v="4.4989999999999997"/>
    <n v="16.32"/>
    <n v="10.125"/>
    <n v="2.7919999999999998"/>
    <n v="8.5999999999999993E-2"/>
    <n v="109.334"/>
    <n v="1.64"/>
    <n v="8.5150000000000006"/>
    <n v="17.62"/>
    <n v="91.484999999999999"/>
    <n v="5314.3540000000003"/>
    <n v="13.81"/>
    <n v="68852658069"/>
  </r>
  <r>
    <x v="8"/>
    <x v="6"/>
    <s v="MAR"/>
    <x v="0"/>
    <s v="Lower middle income"/>
    <n v="30771179"/>
    <n v="188101000000"/>
    <n v="19.87"/>
    <n v="21.9"/>
    <n v="711.70500000000004"/>
    <n v="2.0299999999999998"/>
    <n v="9.2690000000000001"/>
    <n v="0.72299999999999998"/>
    <n v="5.5830000000000002"/>
    <n v="23.491"/>
    <n v="12.228999999999999"/>
    <n v="3.3940000000000001"/>
    <n v="0.123"/>
    <n v="110.873"/>
    <n v="1.78"/>
    <n v="8.9580000000000002"/>
    <n v="18.09"/>
    <n v="91.042000000000002"/>
    <n v="5351.2659999999996"/>
    <n v="14.08"/>
    <n v="75883823301"/>
  </r>
  <r>
    <x v="8"/>
    <x v="7"/>
    <s v="MAR"/>
    <x v="0"/>
    <s v="Lower middle income"/>
    <n v="31186468"/>
    <n v="195287000000"/>
    <n v="19.690000000000001"/>
    <n v="23.2"/>
    <n v="743.91200000000003"/>
    <n v="3.51"/>
    <n v="15.129"/>
    <n v="0.69299999999999995"/>
    <n v="6.298"/>
    <n v="22.233000000000001"/>
    <n v="13.865"/>
    <n v="3.863"/>
    <n v="0.13500000000000001"/>
    <n v="115.995"/>
    <n v="1.61"/>
    <n v="8.1769999999999996"/>
    <n v="18.079999999999998"/>
    <n v="91.822999999999993"/>
    <n v="5233.9480000000003"/>
    <n v="13.93"/>
    <n v="86947913287"/>
  </r>
  <r>
    <x v="8"/>
    <x v="8"/>
    <s v="MAR"/>
    <x v="0"/>
    <s v="Lower middle income"/>
    <n v="31606769"/>
    <n v="207385000000"/>
    <n v="20.350000000000001"/>
    <n v="24.61"/>
    <n v="778.63099999999997"/>
    <n v="4.26"/>
    <n v="17.309999999999999"/>
    <n v="0.66200000000000003"/>
    <n v="6.2190000000000003"/>
    <n v="20.943000000000001"/>
    <n v="13.612"/>
    <n v="3.4569999999999999"/>
    <n v="0.111"/>
    <n v="127.884"/>
    <n v="1.67"/>
    <n v="8.2059999999999995"/>
    <n v="18.68"/>
    <n v="91.793999999999997"/>
    <n v="5699.1210000000001"/>
    <n v="14.16"/>
    <n v="101823000000"/>
  </r>
  <r>
    <x v="8"/>
    <x v="9"/>
    <s v="MAR"/>
    <x v="0"/>
    <s v="Lower middle income"/>
    <n v="32030779"/>
    <n v="216763000000"/>
    <n v="20.93"/>
    <n v="25.55"/>
    <n v="797.67"/>
    <n v="4.62"/>
    <n v="18.082000000000001"/>
    <n v="0.66200000000000003"/>
    <n v="6.8319999999999999"/>
    <n v="20.666"/>
    <n v="14.095000000000001"/>
    <n v="3.8969999999999998"/>
    <n v="9.8000000000000004E-2"/>
    <n v="129.22300000000001"/>
    <n v="3.34"/>
    <n v="15.958"/>
    <n v="17.59"/>
    <n v="84.042000000000002"/>
    <n v="5488.1490000000003"/>
    <n v="13.3"/>
    <n v="101155000000"/>
  </r>
  <r>
    <x v="8"/>
    <x v="10"/>
    <s v="MAR"/>
    <x v="0"/>
    <s v="Lower middle income"/>
    <n v="32467009"/>
    <n v="225644000000"/>
    <n v="22.85"/>
    <n v="26.79"/>
    <n v="825.14499999999998"/>
    <n v="3.94"/>
    <n v="14.707000000000001"/>
    <n v="0.751"/>
    <n v="7.3789999999999996"/>
    <n v="23.116"/>
    <n v="12.298"/>
    <n v="3.7989999999999999"/>
    <n v="0.123"/>
    <n v="143.708"/>
    <n v="4.29"/>
    <n v="18.774999999999999"/>
    <n v="18.559999999999999"/>
    <n v="81.224999999999994"/>
    <n v="6004.7529999999997"/>
    <n v="13.95"/>
    <n v="100865000000"/>
  </r>
  <r>
    <x v="8"/>
    <x v="11"/>
    <s v="MAR"/>
    <x v="0"/>
    <s v="Lower middle income"/>
    <n v="32912585"/>
    <n v="238103000000"/>
    <n v="24.36"/>
    <n v="28.97"/>
    <n v="880.21"/>
    <n v="4.6100000000000003"/>
    <n v="15.913"/>
    <n v="0.64300000000000002"/>
    <n v="9.34"/>
    <n v="19.545999999999999"/>
    <n v="16.050999999999998"/>
    <n v="4.5720000000000001"/>
    <n v="0.123"/>
    <n v="153.339"/>
    <n v="2.83"/>
    <n v="11.617000000000001"/>
    <n v="21.53"/>
    <n v="88.382999999999996"/>
    <n v="6220.9480000000003"/>
    <n v="15.9"/>
    <n v="110081000000"/>
  </r>
  <r>
    <x v="8"/>
    <x v="12"/>
    <s v="MAR"/>
    <x v="0"/>
    <s v="Lower middle income"/>
    <n v="33355246"/>
    <n v="245270000000"/>
    <n v="26.51"/>
    <n v="31.35"/>
    <n v="939.88199999999995"/>
    <n v="4.84"/>
    <n v="15.439"/>
    <n v="0.84699999999999998"/>
    <n v="12.492000000000001"/>
    <n v="25.393000000000001"/>
    <n v="22.443999999999999"/>
    <n v="6.0049999999999999"/>
    <n v="8.5999999999999993E-2"/>
    <n v="154.291"/>
    <n v="2.5499999999999998"/>
    <n v="9.6189999999999998"/>
    <n v="23.96"/>
    <n v="90.381"/>
    <n v="6248.5469999999996"/>
    <n v="17.190000000000001"/>
    <n v="106937000000"/>
  </r>
  <r>
    <x v="8"/>
    <x v="13"/>
    <s v="MAR"/>
    <x v="0"/>
    <s v="Lower middle income"/>
    <n v="33787573"/>
    <n v="256393000000"/>
    <n v="26.94"/>
    <n v="32.340000000000003"/>
    <n v="957.15700000000004"/>
    <n v="5.4"/>
    <n v="16.698"/>
    <n v="1.04"/>
    <n v="12.112"/>
    <n v="30.78"/>
    <n v="21.603999999999999"/>
    <n v="5.6779999999999999"/>
    <n v="9.8000000000000004E-2"/>
    <n v="156.06299999999999"/>
    <n v="4.3499999999999996"/>
    <n v="16.146999999999998"/>
    <n v="22.59"/>
    <n v="83.852999999999994"/>
    <n v="6333.0730000000003"/>
    <n v="16.5"/>
    <n v="115739000000"/>
  </r>
  <r>
    <x v="8"/>
    <x v="14"/>
    <s v="MAR"/>
    <x v="0"/>
    <s v="Lower middle income"/>
    <n v="34204784"/>
    <n v="263252000000"/>
    <n v="28.08"/>
    <n v="34.090000000000003"/>
    <n v="996.64400000000001"/>
    <n v="6.01"/>
    <n v="17.63"/>
    <n v="1.04"/>
    <n v="11.739000000000001"/>
    <n v="30.405000000000001"/>
    <n v="19.943000000000001"/>
    <n v="5.4240000000000004"/>
    <n v="9.8000000000000004E-2"/>
    <n v="148.685"/>
    <n v="3.96"/>
    <n v="14.103"/>
    <n v="24.12"/>
    <n v="85.897000000000006"/>
    <n v="6344.875"/>
    <n v="18.29"/>
    <n v="119131000000"/>
  </r>
  <r>
    <x v="8"/>
    <x v="15"/>
    <s v="MAR"/>
    <x v="0"/>
    <s v="Lower middle income"/>
    <n v="34607590"/>
    <n v="274690000000"/>
    <n v="29.91"/>
    <n v="34.880000000000003"/>
    <n v="1007.871"/>
    <n v="4.97"/>
    <n v="14.249000000000001"/>
    <n v="1.008"/>
    <n v="11.771000000000001"/>
    <n v="29.122"/>
    <n v="19.324999999999999"/>
    <n v="5.3470000000000004"/>
    <n v="9.8000000000000004E-2"/>
    <n v="145.51499999999999"/>
    <n v="4.8099999999999996"/>
    <n v="16.082000000000001"/>
    <n v="25.1"/>
    <n v="83.918000000000006"/>
    <n v="6381.8019999999997"/>
    <n v="19.14"/>
    <n v="110414000000"/>
  </r>
  <r>
    <x v="8"/>
    <x v="16"/>
    <s v="MAR"/>
    <x v="0"/>
    <s v="Lower middle income"/>
    <n v="35023459"/>
    <n v="276121000000"/>
    <n v="30.87"/>
    <n v="36.020000000000003"/>
    <n v="1028.453"/>
    <n v="5.15"/>
    <n v="14.298"/>
    <n v="0.92200000000000004"/>
    <n v="11.976000000000001"/>
    <n v="26.327000000000002"/>
    <n v="19.145"/>
    <n v="5.3810000000000002"/>
    <n v="9.9000000000000005E-2"/>
    <n v="149.065"/>
    <n v="5.09"/>
    <n v="16.489000000000001"/>
    <n v="25.78"/>
    <n v="83.510999999999996"/>
    <n v="6376.4179999999997"/>
    <n v="19.559999999999999"/>
    <n v="111573000000"/>
  </r>
  <r>
    <x v="8"/>
    <x v="17"/>
    <s v="MAR"/>
    <x v="0"/>
    <s v="Lower middle income"/>
    <n v="35446395"/>
    <n v="290087000000"/>
    <n v="31.94"/>
    <n v="37.840000000000003"/>
    <n v="1067.527"/>
    <n v="5.9"/>
    <n v="15.592000000000001"/>
    <n v="0.99099999999999999"/>
    <n v="11.881"/>
    <n v="27.957999999999998"/>
    <n v="18.283999999999999"/>
    <n v="5.0979999999999999"/>
    <n v="9.5000000000000001E-2"/>
    <n v="157.804"/>
    <n v="5.0599999999999996"/>
    <n v="15.842000000000001"/>
    <n v="26.88"/>
    <n v="84.158000000000001"/>
    <n v="6595.8959999999997"/>
    <n v="20.36"/>
    <n v="118541000000"/>
  </r>
  <r>
    <x v="8"/>
    <x v="18"/>
    <s v="MAR"/>
    <x v="0"/>
    <s v="Lower middle income"/>
    <n v="35839760"/>
    <n v="298981000000"/>
    <n v="34.56"/>
    <n v="37.93"/>
    <n v="1058.3219999999999"/>
    <n v="3.37"/>
    <n v="8.8849999999999998"/>
    <n v="1.0649999999999999"/>
    <n v="10.715"/>
    <n v="29.716000000000001"/>
    <n v="15.045999999999999"/>
    <n v="4.45"/>
    <n v="9.0999999999999998E-2"/>
    <n v="154.05099999999999"/>
    <n v="6.85"/>
    <n v="19.821000000000002"/>
    <n v="27.71"/>
    <n v="80.179000000000002"/>
    <n v="6747.0870000000004"/>
    <n v="21.48"/>
    <n v="127341000000"/>
  </r>
  <r>
    <x v="8"/>
    <x v="19"/>
    <s v="MAR"/>
    <x v="0"/>
    <s v="Lower middle income"/>
    <n v="36210907"/>
    <n v="307625000000"/>
    <n v="40.380000000000003"/>
    <n v="39.450000000000003"/>
    <n v="1089.451"/>
    <n v="-0.93"/>
    <n v="-2.3570000000000002"/>
    <n v="1.145"/>
    <n v="10.127000000000001"/>
    <n v="31.62"/>
    <n v="11.638999999999999"/>
    <n v="3.8559999999999999"/>
    <n v="8.6999999999999994E-2"/>
    <n v="156.34200000000001"/>
    <n v="7.99"/>
    <n v="19.786999999999999"/>
    <n v="32.39"/>
    <n v="80.212999999999994"/>
    <n v="7286.2290000000003"/>
    <n v="25.51"/>
    <n v="128920000000"/>
  </r>
  <r>
    <x v="8"/>
    <x v="20"/>
    <s v="MAR"/>
    <x v="0"/>
    <s v="Lower middle income"/>
    <n v="36584208"/>
    <n v="285516000000"/>
    <n v="38.799999999999997"/>
    <n v="39.03"/>
    <n v="1066.854"/>
    <n v="0.23"/>
    <n v="0.58899999999999997"/>
    <n v="1.23"/>
    <n v="7.867"/>
    <n v="33.621000000000002"/>
    <n v="8.9179999999999993"/>
    <n v="3.26"/>
    <n v="8.3000000000000004E-2"/>
    <n v="136.38"/>
    <n v="7.44"/>
    <n v="19.175000000000001"/>
    <n v="31.36"/>
    <n v="80.825000000000003"/>
    <n v="6625.93"/>
    <n v="25.05"/>
    <n v="121354000000"/>
  </r>
  <r>
    <x v="8"/>
    <x v="21"/>
    <s v="MAR"/>
    <x v="0"/>
    <s v="Lower middle income"/>
    <n v="36954443"/>
    <n v="308157000000"/>
    <n v="41.3"/>
    <n v="41.14"/>
    <n v="1113.2629999999999"/>
    <n v="-0.16"/>
    <n v="-0.38900000000000001"/>
    <n v="1.3220000000000001"/>
    <n v="7.899"/>
    <n v="35.774000000000001"/>
    <n v="8.3780000000000001"/>
    <n v="2.9510000000000001"/>
    <n v="0.08"/>
    <n v="154.745"/>
    <n v="8.18"/>
    <n v="19.806000000000001"/>
    <n v="33.119999999999997"/>
    <n v="80.194000000000003"/>
    <n v="7275.982"/>
    <n v="26.43"/>
    <n v="142022000000"/>
  </r>
  <r>
    <x v="8"/>
    <x v="22"/>
    <s v="MAR"/>
    <x v="0"/>
    <s v="Lower middle income"/>
    <n v="37329068"/>
    <n v="311655000000"/>
    <n v="41.41"/>
    <n v="42.81"/>
    <n v="1146.828"/>
    <n v="1.4"/>
    <n v="3.27"/>
    <n v="1.421"/>
    <n v="2.2269999999999999"/>
    <n v="38.067"/>
    <n v="1.6659999999999999"/>
    <n v="0.83799999999999997"/>
    <n v="7.5999999999999998E-2"/>
    <n v="159.524"/>
    <n v="7.53"/>
    <n v="18.184000000000001"/>
    <n v="33.880000000000003"/>
    <n v="81.816000000000003"/>
    <n v="7146.277"/>
    <n v="27.44"/>
    <n v="131245000000"/>
  </r>
  <r>
    <x v="8"/>
    <x v="23"/>
    <s v="MAR"/>
    <x v="0"/>
    <s v="Lower middle income"/>
    <n v="37712516"/>
    <n v="335744000000"/>
    <n v="42.46"/>
    <n v="44.31"/>
    <n v="1174.942"/>
    <n v="1.85"/>
    <n v="4.1749999999999998"/>
    <n v="1.5269999999999999"/>
    <n v="8.8800000000000008"/>
    <n v="40.491"/>
    <n v="10.032999999999999"/>
    <n v="3.2919999999999998"/>
    <n v="7.2999999999999995E-2"/>
    <n v="158.34899999999999"/>
    <n v="9.2200000000000006"/>
    <n v="21.715"/>
    <n v="33.24"/>
    <n v="78.284999999999997"/>
    <n v="7189.8059999999996"/>
    <n v="26.17"/>
    <n v="146036000000"/>
  </r>
  <r>
    <x v="9"/>
    <x v="0"/>
    <s v="NGA"/>
    <x v="1"/>
    <s v="Lower middle income"/>
    <n v="126382490"/>
    <n v="268133000000"/>
    <n v="14.74"/>
    <n v="14.72"/>
    <n v="116.47199999999999"/>
    <n v="-0.02"/>
    <n v="-0.13600000000000001"/>
    <n v="112.045"/>
    <n v="10.706"/>
    <n v="886.55200000000002"/>
    <n v="61.737000000000002"/>
    <n v="38.277000000000001"/>
    <n v="1239.1559999999999"/>
    <n v="168.08799999999999"/>
    <n v="5.64"/>
    <n v="38.262999999999998"/>
    <n v="9.1"/>
    <n v="61.737000000000002"/>
    <n v="1704.075"/>
    <n v="6.07"/>
    <n v="69171451627"/>
  </r>
  <r>
    <x v="9"/>
    <x v="1"/>
    <s v="NGA"/>
    <x v="1"/>
    <s v="Lower middle income"/>
    <n v="129862594"/>
    <n v="293372000000"/>
    <n v="15.47"/>
    <n v="15.44"/>
    <n v="118.895"/>
    <n v="-0.03"/>
    <n v="-0.19400000000000001"/>
    <n v="152.613"/>
    <n v="11.234999999999999"/>
    <n v="1175.192"/>
    <n v="61.731999999999999"/>
    <n v="38.274000000000001"/>
    <n v="1224.5999999999999"/>
    <n v="172.71600000000001"/>
    <n v="5.92"/>
    <n v="38.268000000000001"/>
    <n v="9.5500000000000007"/>
    <n v="61.731999999999999"/>
    <n v="1880.8779999999999"/>
    <n v="6.37"/>
    <n v="73557840064"/>
  </r>
  <r>
    <x v="9"/>
    <x v="2"/>
    <s v="NGA"/>
    <x v="1"/>
    <s v="Lower middle income"/>
    <n v="133471995"/>
    <n v="344836000000"/>
    <n v="21.55"/>
    <n v="21.52"/>
    <n v="161.232"/>
    <n v="-0.03"/>
    <n v="-0.13900000000000001"/>
    <n v="171.404"/>
    <n v="15.659000000000001"/>
    <n v="1284.194"/>
    <n v="61.762999999999998"/>
    <n v="38.292999999999999"/>
    <n v="1104.9839999999999"/>
    <n v="177.517"/>
    <n v="8.24"/>
    <n v="38.237000000000002"/>
    <n v="13.31"/>
    <n v="61.762999999999998"/>
    <n v="1880.1869999999999"/>
    <n v="8.8800000000000008"/>
    <n v="95054059303"/>
  </r>
  <r>
    <x v="9"/>
    <x v="3"/>
    <s v="NGA"/>
    <x v="1"/>
    <s v="Lower middle income"/>
    <n v="137202646"/>
    <n v="387284000000"/>
    <n v="20.2"/>
    <n v="20.16"/>
    <n v="146.93600000000001"/>
    <n v="-0.04"/>
    <n v="-0.19800000000000001"/>
    <n v="213.93899999999999"/>
    <n v="14.988"/>
    <n v="1559.2909999999999"/>
    <n v="63.069000000000003"/>
    <n v="39.103000000000002"/>
    <n v="1304.6279999999999"/>
    <n v="182.47800000000001"/>
    <n v="7.46"/>
    <n v="36.930999999999997"/>
    <n v="12.74"/>
    <n v="63.069000000000003"/>
    <n v="1946.971"/>
    <n v="8.49"/>
    <n v="104739000000"/>
  </r>
  <r>
    <x v="9"/>
    <x v="4"/>
    <s v="NGA"/>
    <x v="1"/>
    <s v="Lower middle income"/>
    <n v="141057045"/>
    <n v="438815000000"/>
    <n v="24.29"/>
    <n v="24.27"/>
    <n v="172.05799999999999"/>
    <n v="-0.02"/>
    <n v="-8.2000000000000003E-2"/>
    <n v="228.94200000000001"/>
    <n v="19.024000000000001"/>
    <n v="1623.0450000000001"/>
    <n v="66.570999999999998"/>
    <n v="41.274000000000001"/>
    <n v="1414.9649999999999"/>
    <n v="187.60499999999999"/>
    <n v="8.1199999999999992"/>
    <n v="33.429000000000002"/>
    <n v="16.170000000000002"/>
    <n v="66.570999999999998"/>
    <n v="1961.0070000000001"/>
    <n v="10.74"/>
    <n v="135765000000"/>
  </r>
  <r>
    <x v="9"/>
    <x v="5"/>
    <s v="NGA"/>
    <x v="1"/>
    <s v="Lower middle income"/>
    <n v="145017256"/>
    <n v="481798000000"/>
    <n v="23.55"/>
    <n v="23.55"/>
    <n v="162.39400000000001"/>
    <n v="0"/>
    <n v="0"/>
    <n v="229.84"/>
    <n v="18.553000000000001"/>
    <n v="1584.914"/>
    <n v="66.963999999999999"/>
    <n v="41.518000000000001"/>
    <n v="1408.903"/>
    <n v="192.87200000000001"/>
    <n v="7.78"/>
    <n v="33.036000000000001"/>
    <n v="15.77"/>
    <n v="66.963999999999999"/>
    <n v="2102.1790000000001"/>
    <n v="10.47"/>
    <n v="175671000000"/>
  </r>
  <r>
    <x v="9"/>
    <x v="6"/>
    <s v="NGA"/>
    <x v="1"/>
    <s v="Lower middle income"/>
    <n v="149077335"/>
    <n v="527632000000"/>
    <n v="23.12"/>
    <n v="23.12"/>
    <n v="155.08699999999999"/>
    <n v="0"/>
    <n v="0"/>
    <n v="268.91500000000002"/>
    <n v="19.824000000000002"/>
    <n v="1803.8630000000001"/>
    <n v="72.881"/>
    <n v="45.186"/>
    <n v="1343.799"/>
    <n v="198.27199999999999"/>
    <n v="6.27"/>
    <n v="27.119"/>
    <n v="16.850000000000001"/>
    <n v="72.881"/>
    <n v="1838.13"/>
    <n v="11.14"/>
    <n v="238455000000"/>
  </r>
  <r>
    <x v="9"/>
    <x v="7"/>
    <s v="NGA"/>
    <x v="1"/>
    <s v="Lower middle income"/>
    <n v="153267254"/>
    <n v="581001000000"/>
    <n v="22.99"/>
    <n v="22.99"/>
    <n v="149.999"/>
    <n v="0"/>
    <n v="0"/>
    <n v="336.34199999999998"/>
    <n v="19.706"/>
    <n v="2194.482"/>
    <n v="72.858000000000004"/>
    <n v="45.171999999999997"/>
    <n v="1246.2550000000001"/>
    <n v="203.84399999999999"/>
    <n v="6.24"/>
    <n v="27.141999999999999"/>
    <n v="16.75"/>
    <n v="72.858000000000004"/>
    <n v="1643.461"/>
    <n v="11.08"/>
    <n v="278261000000"/>
  </r>
  <r>
    <x v="9"/>
    <x v="8"/>
    <s v="NGA"/>
    <x v="1"/>
    <s v="Lower middle income"/>
    <n v="157595014"/>
    <n v="638908000000"/>
    <n v="21.12"/>
    <n v="21.12"/>
    <n v="134.01400000000001"/>
    <n v="0"/>
    <n v="0"/>
    <n v="327.79199999999997"/>
    <n v="18.106000000000002"/>
    <n v="2079.9659999999999"/>
    <n v="72.869"/>
    <n v="45.179000000000002"/>
    <n v="1229.3309999999999"/>
    <n v="209.6"/>
    <n v="5.73"/>
    <n v="27.131"/>
    <n v="15.39"/>
    <n v="72.869"/>
    <n v="1969.0129999999999"/>
    <n v="10.18"/>
    <n v="339476000000"/>
  </r>
  <r>
    <x v="9"/>
    <x v="9"/>
    <s v="NGA"/>
    <x v="1"/>
    <s v="Lower middle income"/>
    <n v="162049466"/>
    <n v="709931000000"/>
    <n v="19.79"/>
    <n v="19.79"/>
    <n v="122.123"/>
    <n v="0"/>
    <n v="0"/>
    <n v="231.91900000000001"/>
    <n v="17.940999999999999"/>
    <n v="1431.164"/>
    <n v="77.058999999999997"/>
    <n v="47.777000000000001"/>
    <n v="1242.6489999999999"/>
    <n v="215.524"/>
    <n v="4.54"/>
    <n v="22.940999999999999"/>
    <n v="15.25"/>
    <n v="77.058999999999997"/>
    <n v="1211.625"/>
    <n v="10.06"/>
    <n v="295009000000"/>
  </r>
  <r>
    <x v="9"/>
    <x v="10"/>
    <s v="NGA"/>
    <x v="1"/>
    <s v="Lower middle income"/>
    <n v="166642888"/>
    <n v="809999000000"/>
    <n v="26.13"/>
    <n v="26.13"/>
    <n v="156.80199999999999"/>
    <n v="0"/>
    <n v="0"/>
    <n v="309.06700000000001"/>
    <n v="23.234999999999999"/>
    <n v="1854.665"/>
    <n v="75.584000000000003"/>
    <n v="46.862000000000002"/>
    <n v="1419.1030000000001"/>
    <n v="221.63399999999999"/>
    <n v="6.38"/>
    <n v="24.416"/>
    <n v="19.75"/>
    <n v="75.584000000000003"/>
    <n v="1445.278"/>
    <n v="13.04"/>
    <n v="366990000000"/>
  </r>
  <r>
    <x v="9"/>
    <x v="11"/>
    <s v="NGA"/>
    <x v="1"/>
    <s v="Lower middle income"/>
    <n v="171379602"/>
    <n v="871104000000"/>
    <n v="27.04"/>
    <n v="27.04"/>
    <n v="157.77799999999999"/>
    <n v="0"/>
    <n v="0"/>
    <n v="364.25799999999998"/>
    <n v="24.882000000000001"/>
    <n v="2125.4459999999999"/>
    <n v="78.216999999999999"/>
    <n v="48.494999999999997"/>
    <n v="1376.2829999999999"/>
    <n v="227.93299999999999"/>
    <n v="5.89"/>
    <n v="21.783000000000001"/>
    <n v="21.15"/>
    <n v="78.216999999999999"/>
    <n v="2022.9469999999999"/>
    <n v="13.94"/>
    <n v="414467000000"/>
  </r>
  <r>
    <x v="9"/>
    <x v="12"/>
    <s v="NGA"/>
    <x v="1"/>
    <s v="Lower middle income"/>
    <n v="176200627"/>
    <n v="908381000000"/>
    <n v="28.74"/>
    <n v="28.74"/>
    <n v="163.11000000000001"/>
    <n v="0"/>
    <n v="0"/>
    <n v="391.60300000000001"/>
    <n v="27.117999999999999"/>
    <n v="2222.4839999999999"/>
    <n v="80.201999999999998"/>
    <n v="49.725000000000001"/>
    <n v="1353.3620000000001"/>
    <n v="234.345"/>
    <n v="5.69"/>
    <n v="19.797999999999998"/>
    <n v="23.05"/>
    <n v="80.201999999999998"/>
    <n v="1987.3389999999999"/>
    <n v="15.17"/>
    <n v="463971000000"/>
  </r>
  <r>
    <x v="9"/>
    <x v="13"/>
    <s v="NGA"/>
    <x v="1"/>
    <s v="Lower middle income"/>
    <n v="181049440"/>
    <n v="957383000000"/>
    <n v="28.93"/>
    <n v="28.93"/>
    <n v="159.791"/>
    <n v="0"/>
    <n v="0"/>
    <n v="330.99599999999998"/>
    <n v="27.718"/>
    <n v="1828.2059999999999"/>
    <n v="81.438000000000002"/>
    <n v="50.491999999999997"/>
    <n v="1271.8240000000001"/>
    <n v="240.79400000000001"/>
    <n v="5.37"/>
    <n v="18.562000000000001"/>
    <n v="23.56"/>
    <n v="81.438000000000002"/>
    <n v="2503.9160000000002"/>
    <n v="15.5"/>
    <n v="520117000000"/>
  </r>
  <r>
    <x v="9"/>
    <x v="14"/>
    <s v="NGA"/>
    <x v="1"/>
    <s v="Lower middle income"/>
    <n v="185896917"/>
    <n v="1017790000000"/>
    <n v="32.28"/>
    <n v="32.28"/>
    <n v="173.64500000000001"/>
    <n v="0"/>
    <n v="0"/>
    <n v="399.82499999999999"/>
    <n v="31.635000000000002"/>
    <n v="2150.7910000000002"/>
    <n v="83.302000000000007"/>
    <n v="51.646999999999998"/>
    <n v="1270.04"/>
    <n v="247.24100000000001"/>
    <n v="5.39"/>
    <n v="16.698"/>
    <n v="26.89"/>
    <n v="83.302000000000007"/>
    <n v="2658.422"/>
    <n v="17.670000000000002"/>
    <n v="574184000000"/>
  </r>
  <r>
    <x v="9"/>
    <x v="15"/>
    <s v="NGA"/>
    <x v="1"/>
    <s v="Lower middle income"/>
    <n v="190671883"/>
    <n v="1044790000000"/>
    <n v="33.17"/>
    <n v="33.17"/>
    <n v="173.964"/>
    <n v="0"/>
    <n v="0"/>
    <n v="475.65300000000002"/>
    <n v="31.411999999999999"/>
    <n v="2494.6149999999998"/>
    <n v="80.494"/>
    <n v="49.905999999999999"/>
    <n v="1228.846"/>
    <n v="253.59200000000001"/>
    <n v="6.47"/>
    <n v="19.506"/>
    <n v="26.7"/>
    <n v="80.494"/>
    <n v="2458.8649999999998"/>
    <n v="17.57"/>
    <n v="493027000000"/>
  </r>
  <r>
    <x v="9"/>
    <x v="16"/>
    <s v="NGA"/>
    <x v="1"/>
    <s v="Lower middle income"/>
    <n v="195443698"/>
    <n v="1027900000000"/>
    <n v="36.54"/>
    <n v="34.6"/>
    <n v="177.03299999999999"/>
    <n v="-1.94"/>
    <n v="-5.6070000000000002"/>
    <n v="426.37"/>
    <n v="33.329000000000001"/>
    <n v="2181.5500000000002"/>
    <n v="77.531000000000006"/>
    <n v="48.069000000000003"/>
    <n v="1061.3330000000001"/>
    <n v="259.93799999999999"/>
    <n v="8.2100000000000009"/>
    <n v="22.469000000000001"/>
    <n v="28.33"/>
    <n v="77.531000000000006"/>
    <n v="2431.6170000000002"/>
    <n v="18.68"/>
    <n v="404649000000"/>
  </r>
  <r>
    <x v="9"/>
    <x v="17"/>
    <s v="NGA"/>
    <x v="1"/>
    <s v="Lower middle income"/>
    <n v="200254580"/>
    <n v="1036180000000"/>
    <n v="32.24"/>
    <n v="29.78"/>
    <n v="148.71100000000001"/>
    <n v="-2.46"/>
    <n v="-8.2609999999999992"/>
    <n v="472.05599999999998"/>
    <n v="28.753"/>
    <n v="2357.2809999999999"/>
    <n v="75.805999999999997"/>
    <n v="47"/>
    <n v="1097.865"/>
    <n v="266.33699999999999"/>
    <n v="7.8"/>
    <n v="24.193999999999999"/>
    <n v="24.44"/>
    <n v="75.805999999999997"/>
    <n v="2297.201"/>
    <n v="16.12"/>
    <n v="375746000000"/>
  </r>
  <r>
    <x v="9"/>
    <x v="18"/>
    <s v="NGA"/>
    <x v="1"/>
    <s v="Lower middle income"/>
    <n v="204938752"/>
    <n v="1056100000000"/>
    <n v="36.71"/>
    <n v="33.71"/>
    <n v="164.488"/>
    <n v="-3"/>
    <n v="-8.8989999999999991"/>
    <n v="482.69600000000003"/>
    <n v="34.046999999999997"/>
    <n v="2355.3159999999998"/>
    <n v="78.834000000000003"/>
    <n v="48.877000000000002"/>
    <n v="1118.3979999999999"/>
    <n v="272.56700000000001"/>
    <n v="7.77"/>
    <n v="21.166"/>
    <n v="28.94"/>
    <n v="78.834000000000003"/>
    <n v="2398.6109999999999"/>
    <n v="19.07"/>
    <n v="421739000000"/>
  </r>
  <r>
    <x v="9"/>
    <x v="19"/>
    <s v="NGA"/>
    <x v="1"/>
    <s v="Lower middle income"/>
    <n v="209485637"/>
    <n v="1079430000000"/>
    <n v="36.46"/>
    <n v="34.130000000000003"/>
    <n v="162.923"/>
    <n v="-2.33"/>
    <n v="-6.827"/>
    <n v="492.79199999999997"/>
    <n v="32.881999999999998"/>
    <n v="2352.3879999999999"/>
    <n v="76.659000000000006"/>
    <n v="47.529000000000003"/>
    <n v="1172.9770000000001"/>
    <n v="278.61399999999998"/>
    <n v="8.51"/>
    <n v="23.341000000000001"/>
    <n v="27.95"/>
    <n v="76.659000000000006"/>
    <n v="2457.3879999999999"/>
    <n v="18.440000000000001"/>
    <n v="668220000000"/>
  </r>
  <r>
    <x v="9"/>
    <x v="20"/>
    <s v="NGA"/>
    <x v="1"/>
    <s v="Lower middle income"/>
    <n v="213996185"/>
    <n v="1060060000000"/>
    <n v="38"/>
    <n v="34.99"/>
    <n v="163.50800000000001"/>
    <n v="-3.01"/>
    <n v="-8.6020000000000003"/>
    <n v="494.31099999999998"/>
    <n v="35.517000000000003"/>
    <n v="2309.9070000000002"/>
    <n v="79.447000000000003"/>
    <n v="49.256999999999998"/>
    <n v="1063.296"/>
    <n v="284.613"/>
    <n v="7.81"/>
    <n v="20.553000000000001"/>
    <n v="30.19"/>
    <n v="79.447000000000003"/>
    <n v="2221.549"/>
    <n v="19.89"/>
    <n v="598587000000"/>
  </r>
  <r>
    <x v="9"/>
    <x v="21"/>
    <s v="NGA"/>
    <x v="1"/>
    <s v="Lower middle income"/>
    <n v="218529286"/>
    <n v="1098720000000"/>
    <n v="39.200000000000003"/>
    <n v="36.14"/>
    <n v="165.37799999999999"/>
    <n v="-3.06"/>
    <n v="-8.4670000000000005"/>
    <n v="524.40800000000002"/>
    <n v="36.588000000000001"/>
    <n v="2399.7159999999999"/>
    <n v="79.337000000000003"/>
    <n v="49.189"/>
    <n v="938.36199999999997"/>
    <n v="290.642"/>
    <n v="8.1"/>
    <n v="20.663"/>
    <n v="31.1"/>
    <n v="79.337000000000003"/>
    <n v="2345.2539999999999"/>
    <n v="20.49"/>
    <n v="609148000000"/>
  </r>
  <r>
    <x v="9"/>
    <x v="22"/>
    <s v="NGA"/>
    <x v="1"/>
    <s v="Lower middle income"/>
    <n v="223150906"/>
    <n v="1134450000000"/>
    <n v="38"/>
    <n v="35.57"/>
    <n v="159.399"/>
    <n v="-2.4300000000000002"/>
    <n v="-6.8319999999999999"/>
    <n v="471.19400000000002"/>
    <n v="33.658999999999999"/>
    <n v="2111.5500000000002"/>
    <n v="75.289000000000001"/>
    <n v="46.679000000000002"/>
    <n v="805.57399999999996"/>
    <n v="296.78899999999999"/>
    <n v="9.39"/>
    <n v="24.710999999999999"/>
    <n v="28.61"/>
    <n v="75.289000000000001"/>
    <n v="2319.8960000000002"/>
    <n v="18.899999999999999"/>
    <n v="646950000000"/>
  </r>
  <r>
    <x v="9"/>
    <x v="23"/>
    <s v="NGA"/>
    <x v="1"/>
    <s v="Lower middle income"/>
    <n v="227882949"/>
    <n v="865629000000"/>
    <n v="40.92"/>
    <n v="38.6"/>
    <n v="169.38499999999999"/>
    <n v="-2.3199999999999998"/>
    <n v="-6.01"/>
    <n v="443.50700000000001"/>
    <n v="37.223999999999997"/>
    <n v="1946.2059999999999"/>
    <n v="77.322000000000003"/>
    <n v="47.94"/>
    <n v="859.471"/>
    <n v="303.08199999999999"/>
    <n v="9.2799999999999994"/>
    <n v="22.678000000000001"/>
    <n v="31.64"/>
    <n v="77.322000000000003"/>
    <n v="2342.6390000000001"/>
    <n v="20.88"/>
    <n v="487388000000"/>
  </r>
  <r>
    <x v="10"/>
    <x v="0"/>
    <s v="SAU"/>
    <x v="0"/>
    <s v="High income"/>
    <n v="16177733"/>
    <n v="488272000000"/>
    <n v="138.69"/>
    <n v="138.69"/>
    <n v="8572.8950000000004"/>
    <n v="0"/>
    <n v="0"/>
    <n v="473.19499999999999"/>
    <n v="473.19499999999999"/>
    <n v="29249.771000000001"/>
    <n v="46.030999999999999"/>
    <n v="35.448999999999998"/>
    <n v="5099.9459999999999"/>
    <n v="861.68499999999995"/>
    <n v="0"/>
    <n v="0"/>
    <n v="138.69"/>
    <n v="100"/>
    <n v="82513.391000000003"/>
    <n v="96.02"/>
    <n v="189515000000"/>
  </r>
  <r>
    <x v="10"/>
    <x v="1"/>
    <s v="SAU"/>
    <x v="0"/>
    <s v="High income"/>
    <n v="17041405"/>
    <n v="506978000000"/>
    <n v="146.09"/>
    <n v="146.09"/>
    <n v="8572.6489999999994"/>
    <n v="0"/>
    <n v="0"/>
    <n v="510.05500000000001"/>
    <n v="510.05500000000001"/>
    <n v="29930.335999999999"/>
    <n v="52.468000000000004"/>
    <n v="35.86"/>
    <n v="4974.1139999999996"/>
    <n v="912.18600000000004"/>
    <n v="0"/>
    <n v="0"/>
    <n v="146.09"/>
    <n v="100"/>
    <n v="83463.327999999994"/>
    <n v="101.85"/>
    <n v="184138000000"/>
  </r>
  <r>
    <x v="10"/>
    <x v="2"/>
    <s v="SAU"/>
    <x v="0"/>
    <s v="High income"/>
    <n v="17910909"/>
    <n v="518347000000"/>
    <n v="154.91"/>
    <n v="154.91"/>
    <n v="8648.9189999999999"/>
    <n v="0"/>
    <n v="0"/>
    <n v="538.65"/>
    <n v="538.65"/>
    <n v="30073.848000000002"/>
    <n v="55.844999999999999"/>
    <n v="36.360999999999997"/>
    <n v="4536.317"/>
    <n v="942.58900000000006"/>
    <n v="0"/>
    <n v="0"/>
    <n v="154.91"/>
    <n v="100"/>
    <n v="82708.406000000003"/>
    <n v="108.39"/>
    <n v="189606000000"/>
  </r>
  <r>
    <x v="10"/>
    <x v="3"/>
    <s v="SAU"/>
    <x v="0"/>
    <s v="High income"/>
    <n v="18786771"/>
    <n v="607245000000"/>
    <n v="166.58"/>
    <n v="166.58"/>
    <n v="8866.8780000000006"/>
    <n v="0"/>
    <n v="0"/>
    <n v="570.57000000000005"/>
    <n v="570.57000000000005"/>
    <n v="30370.84"/>
    <n v="54.844999999999999"/>
    <n v="36.360999999999997"/>
    <n v="5355.6120000000001"/>
    <n v="998.43799999999999"/>
    <n v="0"/>
    <n v="0"/>
    <n v="166.58"/>
    <n v="100"/>
    <n v="83526.383000000002"/>
    <n v="116.42"/>
    <n v="215808000000"/>
  </r>
  <r>
    <x v="10"/>
    <x v="4"/>
    <s v="SAU"/>
    <x v="0"/>
    <s v="High income"/>
    <n v="19669486"/>
    <n v="690847000000"/>
    <n v="173.41"/>
    <n v="173.41"/>
    <n v="8816.1939999999995"/>
    <n v="0"/>
    <n v="0"/>
    <n v="623.96"/>
    <n v="623.96"/>
    <n v="31722.232"/>
    <n v="56.94"/>
    <n v="36.651000000000003"/>
    <n v="5731.1170000000002"/>
    <n v="1078.3240000000001"/>
    <n v="0"/>
    <n v="0"/>
    <n v="173.41"/>
    <n v="100"/>
    <n v="86552.733999999997"/>
    <n v="121.47"/>
    <n v="258742000000"/>
  </r>
  <r>
    <x v="10"/>
    <x v="5"/>
    <s v="SAU"/>
    <x v="0"/>
    <s v="High income"/>
    <n v="20559886"/>
    <n v="768984000000"/>
    <n v="191.05"/>
    <n v="191.05"/>
    <n v="9292.3670000000002"/>
    <n v="0"/>
    <n v="0"/>
    <n v="676.78"/>
    <n v="676.78"/>
    <n v="32917.5"/>
    <n v="56.493000000000002"/>
    <n v="37.368000000000002"/>
    <n v="6008.3860000000004"/>
    <n v="1134.001"/>
    <n v="0"/>
    <n v="0"/>
    <n v="191.05"/>
    <n v="100"/>
    <n v="88089.297000000006"/>
    <n v="133.76"/>
    <n v="328460000000"/>
  </r>
  <r>
    <x v="10"/>
    <x v="6"/>
    <s v="SAU"/>
    <x v="0"/>
    <s v="High income"/>
    <n v="21459141"/>
    <n v="833723000000"/>
    <n v="196.31"/>
    <n v="196.31"/>
    <n v="9148.0830000000005"/>
    <n v="0"/>
    <n v="0"/>
    <n v="697.88"/>
    <n v="697.88"/>
    <n v="32521.315999999999"/>
    <n v="53.258000000000003"/>
    <n v="36.726999999999997"/>
    <n v="5918.9790000000003"/>
    <n v="1202.06"/>
    <n v="0"/>
    <n v="0"/>
    <n v="196.31"/>
    <n v="100"/>
    <n v="88548.273000000001"/>
    <n v="136.97999999999999"/>
    <n v="376900000000"/>
  </r>
  <r>
    <x v="10"/>
    <x v="7"/>
    <s v="SAU"/>
    <x v="0"/>
    <s v="High income"/>
    <n v="22368313"/>
    <n v="896025000000"/>
    <n v="204.43"/>
    <n v="204.43"/>
    <n v="9139.268"/>
    <n v="0"/>
    <n v="0"/>
    <n v="706.99"/>
    <n v="706.99"/>
    <n v="31606.768"/>
    <n v="50.241999999999997"/>
    <n v="36.366999999999997"/>
    <n v="5686.37"/>
    <n v="1236.422"/>
    <n v="0"/>
    <n v="0"/>
    <n v="204.43"/>
    <n v="100"/>
    <n v="86911.210999999996"/>
    <n v="142.18"/>
    <n v="415965000000"/>
  </r>
  <r>
    <x v="10"/>
    <x v="8"/>
    <s v="SAU"/>
    <x v="0"/>
    <s v="High income"/>
    <n v="23287884"/>
    <n v="1005240000000"/>
    <n v="204.2"/>
    <n v="204.2"/>
    <n v="8768.5079999999998"/>
    <n v="0"/>
    <n v="0"/>
    <n v="764.18"/>
    <n v="764.18"/>
    <n v="32814.491999999998"/>
    <n v="49.319000000000003"/>
    <n v="35.902999999999999"/>
    <n v="5931"/>
    <n v="1363.5360000000001"/>
    <n v="0"/>
    <n v="0"/>
    <n v="204.2"/>
    <n v="100"/>
    <n v="91397.906000000003"/>
    <n v="141.88"/>
    <n v="519797000000"/>
  </r>
  <r>
    <x v="10"/>
    <x v="9"/>
    <s v="SAU"/>
    <x v="0"/>
    <s v="High income"/>
    <n v="24217656"/>
    <n v="1040470000000"/>
    <n v="217.31"/>
    <n v="217.31"/>
    <n v="8973.2049999999999"/>
    <n v="0"/>
    <n v="0"/>
    <n v="745.27499999999998"/>
    <n v="745.27499999999998"/>
    <n v="30774.037"/>
    <n v="43.298000000000002"/>
    <n v="33.796999999999997"/>
    <n v="5338.2539999999999"/>
    <n v="1459.588"/>
    <n v="0"/>
    <n v="0"/>
    <n v="217.31"/>
    <n v="100"/>
    <n v="91054.976999999999"/>
    <n v="150.01"/>
    <n v="429098000000"/>
  </r>
  <r>
    <x v="10"/>
    <x v="10"/>
    <s v="SAU"/>
    <x v="0"/>
    <s v="High income"/>
    <n v="25157134"/>
    <n v="1156840000000"/>
    <n v="248.77"/>
    <n v="248.77"/>
    <n v="9888.6460000000006"/>
    <n v="0"/>
    <n v="0"/>
    <n v="832.77"/>
    <n v="832.77"/>
    <n v="33102.737999999998"/>
    <n v="44.771999999999998"/>
    <n v="33.975000000000001"/>
    <n v="5388.1869999999999"/>
    <n v="1617.539"/>
    <n v="0"/>
    <n v="0"/>
    <n v="248.77"/>
    <n v="100"/>
    <n v="97431.875"/>
    <n v="172"/>
    <n v="528207000000"/>
  </r>
  <r>
    <x v="10"/>
    <x v="11"/>
    <s v="SAU"/>
    <x v="0"/>
    <s v="High income"/>
    <n v="26105636"/>
    <n v="1347950000000"/>
    <n v="259.14999999999998"/>
    <n v="259.08"/>
    <n v="9924.2929999999997"/>
    <n v="-7.0000000000000007E-2"/>
    <n v="-2.7E-2"/>
    <n v="876.47"/>
    <n v="876.47"/>
    <n v="33573.976999999999"/>
    <n v="44.606999999999999"/>
    <n v="34.273000000000003"/>
    <n v="6079.0069999999996"/>
    <n v="1680.0409999999999"/>
    <n v="0.01"/>
    <n v="4.0000000000000001E-3"/>
    <n v="259.14"/>
    <n v="99.995999999999995"/>
    <n v="97959.343999999997"/>
    <n v="179.14"/>
    <n v="680661000000"/>
  </r>
  <r>
    <x v="10"/>
    <x v="12"/>
    <s v="SAU"/>
    <x v="0"/>
    <s v="High income"/>
    <n v="27062447"/>
    <n v="1421110000000"/>
    <n v="281.63"/>
    <n v="281.58"/>
    <n v="10404.823"/>
    <n v="-0.05"/>
    <n v="-1.7999999999999999E-2"/>
    <n v="943.63499999999999"/>
    <n v="943.63499999999999"/>
    <n v="34868.796999999999"/>
    <n v="46.689"/>
    <n v="34.767000000000003"/>
    <n v="6387.4930000000004"/>
    <n v="1769.607"/>
    <n v="0.03"/>
    <n v="1.0999999999999999E-2"/>
    <n v="281.60000000000002"/>
    <n v="99.989000000000004"/>
    <n v="100294.359"/>
    <n v="195.1"/>
    <n v="751921000000"/>
  </r>
  <r>
    <x v="10"/>
    <x v="13"/>
    <s v="SAU"/>
    <x v="0"/>
    <s v="High income"/>
    <n v="28026825"/>
    <n v="1461620000000"/>
    <n v="294.72000000000003"/>
    <n v="294.67"/>
    <n v="10513.856"/>
    <n v="-0.05"/>
    <n v="-1.7000000000000001E-2"/>
    <n v="950.28499999999997"/>
    <n v="950.28499999999997"/>
    <n v="33906.266000000003"/>
    <n v="47.095999999999997"/>
    <n v="34.793999999999997"/>
    <n v="6261.7439999999997"/>
    <n v="1779.671"/>
    <n v="0.04"/>
    <n v="1.4E-2"/>
    <n v="294.68"/>
    <n v="99.986000000000004"/>
    <n v="97450.226999999999"/>
    <n v="204.26"/>
    <n v="769756000000"/>
  </r>
  <r>
    <x v="10"/>
    <x v="14"/>
    <s v="SAU"/>
    <x v="0"/>
    <s v="High income"/>
    <n v="28998127"/>
    <n v="1520480000000"/>
    <n v="328.2"/>
    <n v="328.15"/>
    <n v="11316.248"/>
    <n v="-0.05"/>
    <n v="-1.4999999999999999E-2"/>
    <n v="972.61"/>
    <n v="972.61"/>
    <n v="33540.440999999999"/>
    <n v="46.459000000000003"/>
    <n v="33.176000000000002"/>
    <n v="6324.6679999999997"/>
    <n v="1957.39"/>
    <n v="0.05"/>
    <n v="1.4999999999999999E-2"/>
    <n v="328.15"/>
    <n v="99.984999999999999"/>
    <n v="101100.227"/>
    <n v="227.3"/>
    <n v="787153000000"/>
  </r>
  <r>
    <x v="10"/>
    <x v="15"/>
    <s v="SAU"/>
    <x v="0"/>
    <s v="High income"/>
    <n v="29974944"/>
    <n v="1591800000000"/>
    <n v="350.64"/>
    <n v="350.59"/>
    <n v="11696.102000000001"/>
    <n v="-0.05"/>
    <n v="-1.4E-2"/>
    <n v="992.27499999999998"/>
    <n v="992.27499999999998"/>
    <n v="33103.480000000003"/>
    <n v="47.151000000000003"/>
    <n v="32.463000000000001"/>
    <n v="6606.2370000000001"/>
    <n v="2063.19"/>
    <n v="0.05"/>
    <n v="1.4E-2"/>
    <n v="350.59"/>
    <n v="99.986000000000004"/>
    <n v="101972.68799999999"/>
    <n v="243.02"/>
    <n v="693414000000"/>
  </r>
  <r>
    <x v="10"/>
    <x v="16"/>
    <s v="SAU"/>
    <x v="0"/>
    <s v="High income"/>
    <n v="30717804"/>
    <n v="1629410000000"/>
    <n v="357.66"/>
    <n v="356.94"/>
    <n v="11619.972"/>
    <n v="-0.72"/>
    <n v="-0.20200000000000001"/>
    <n v="1053.17"/>
    <n v="1053.17"/>
    <n v="34285.328000000001"/>
    <n v="52.72"/>
    <n v="33.119999999999997"/>
    <n v="6823.4629999999997"/>
    <n v="2125.6959999999999"/>
    <n v="0.05"/>
    <n v="1.4E-2"/>
    <n v="357.61"/>
    <n v="99.986000000000004"/>
    <n v="103517.94500000001"/>
    <n v="249.37"/>
    <n v="689279000000"/>
  </r>
  <r>
    <x v="10"/>
    <x v="17"/>
    <s v="SAU"/>
    <x v="0"/>
    <s v="High income"/>
    <n v="30782400"/>
    <n v="1628280000000"/>
    <n v="394.99"/>
    <n v="394.96"/>
    <n v="12830.708000000001"/>
    <n v="-0.03"/>
    <n v="-8.0000000000000002E-3"/>
    <n v="1092.502"/>
    <n v="1092.502"/>
    <n v="35491.129000000001"/>
    <n v="56.389000000000003"/>
    <n v="34.335999999999999"/>
    <n v="6504.8850000000002"/>
    <n v="2087.7919999999999"/>
    <n v="7.0000000000000007E-2"/>
    <n v="1.7999999999999999E-2"/>
    <n v="394.92"/>
    <n v="99.981999999999999"/>
    <n v="103364.891"/>
    <n v="276.48"/>
    <n v="741266000000"/>
  </r>
  <r>
    <x v="10"/>
    <x v="18"/>
    <s v="SAU"/>
    <x v="0"/>
    <s v="High income"/>
    <n v="30365119"/>
    <n v="1673250000000"/>
    <n v="374.77"/>
    <n v="374.74"/>
    <n v="12341.134"/>
    <n v="-0.03"/>
    <n v="-8.0000000000000002E-3"/>
    <n v="1121"/>
    <n v="1121"/>
    <n v="36917.358999999997"/>
    <n v="60.484999999999999"/>
    <n v="36.142000000000003"/>
    <n v="6708.3890000000001"/>
    <n v="1979.1279999999999"/>
    <n v="0.16"/>
    <n v="4.2999999999999997E-2"/>
    <n v="374.61"/>
    <n v="99.956999999999994"/>
    <n v="102146.07799999999"/>
    <n v="263.42"/>
    <n v="886565000000"/>
  </r>
  <r>
    <x v="10"/>
    <x v="19"/>
    <s v="SAU"/>
    <x v="0"/>
    <s v="High income"/>
    <n v="30472809"/>
    <n v="1687180000000"/>
    <n v="378.55"/>
    <n v="378.85"/>
    <n v="12432.396000000001"/>
    <n v="0.3"/>
    <n v="7.9000000000000001E-2"/>
    <n v="1111.5"/>
    <n v="1111.5"/>
    <n v="36475.141000000003"/>
    <n v="59.052"/>
    <n v="37.457999999999998"/>
    <n v="6472.84"/>
    <n v="1854.1469999999999"/>
    <n v="0.22"/>
    <n v="5.8000000000000003E-2"/>
    <n v="378.33"/>
    <n v="99.941999999999993"/>
    <n v="97377.937999999995"/>
    <n v="265.63"/>
    <n v="888890000000"/>
  </r>
  <r>
    <x v="10"/>
    <x v="20"/>
    <s v="SAU"/>
    <x v="0"/>
    <s v="High income"/>
    <n v="30991206"/>
    <n v="1613930000000"/>
    <n v="380.9"/>
    <n v="380.53"/>
    <n v="12278.645"/>
    <n v="-0.37"/>
    <n v="-9.7000000000000003E-2"/>
    <n v="1130.5"/>
    <n v="1130.5"/>
    <n v="36478.089999999997"/>
    <n v="60.795000000000002"/>
    <n v="39.143000000000001"/>
    <n v="6042.7489999999998"/>
    <n v="1754.317"/>
    <n v="0.92"/>
    <n v="0.24199999999999999"/>
    <n v="379.98"/>
    <n v="99.757999999999996"/>
    <n v="93195.883000000002"/>
    <n v="267.33999999999997"/>
    <n v="767951000000"/>
  </r>
  <r>
    <x v="10"/>
    <x v="21"/>
    <s v="SAU"/>
    <x v="0"/>
    <s v="High income"/>
    <n v="31328374"/>
    <n v="1677230000000"/>
    <n v="392.95"/>
    <n v="392.91"/>
    <n v="12541.665999999999"/>
    <n v="-0.04"/>
    <n v="-0.01"/>
    <n v="1144.607"/>
    <n v="1144.607"/>
    <n v="36535.788999999997"/>
    <n v="61.607999999999997"/>
    <n v="38.381"/>
    <n v="5989.7179999999998"/>
    <n v="1833.8430000000001"/>
    <n v="1"/>
    <n v="0.254"/>
    <n v="391.95"/>
    <n v="99.745999999999995"/>
    <n v="95196.312000000005"/>
    <n v="276.02"/>
    <n v="982661000000"/>
  </r>
  <r>
    <x v="10"/>
    <x v="22"/>
    <s v="SAU"/>
    <x v="0"/>
    <s v="High income"/>
    <n v="32175351"/>
    <n v="1823890000000"/>
    <n v="409.84"/>
    <n v="409.8"/>
    <n v="12736.457"/>
    <n v="-0.04"/>
    <n v="-0.01"/>
    <n v="1167.499"/>
    <n v="1167.499"/>
    <n v="36285.508000000002"/>
    <n v="60.472000000000001"/>
    <n v="37.066000000000003"/>
    <n v="6665.5569999999998"/>
    <n v="1976.0640000000001"/>
    <n v="2.0099999999999998"/>
    <n v="0.49"/>
    <n v="407.83"/>
    <n v="99.51"/>
    <n v="97902.695000000007"/>
    <n v="286.91000000000003"/>
    <n v="1239080000000"/>
  </r>
  <r>
    <x v="10"/>
    <x v="23"/>
    <s v="SAU"/>
    <x v="0"/>
    <s v="High income"/>
    <n v="33264289"/>
    <n v="2144870000000"/>
    <n v="429.25"/>
    <n v="429.21"/>
    <n v="12903.026"/>
    <n v="-0.04"/>
    <n v="-8.9999999999999993E-3"/>
    <n v="1173.547"/>
    <n v="1173.547"/>
    <n v="35279.483999999997"/>
    <n v="61.851999999999997"/>
    <n v="36.673000000000002"/>
    <n v="6151.1790000000001"/>
    <n v="2013.4"/>
    <n v="4.72"/>
    <n v="1.1000000000000001"/>
    <n v="424.53"/>
    <n v="98.9"/>
    <n v="96221.539000000004"/>
    <n v="299.32"/>
    <n v="1218580000000"/>
  </r>
  <r>
    <x v="11"/>
    <x v="0"/>
    <s v="ZAF"/>
    <x v="1"/>
    <s v="Upper middle income"/>
    <n v="47159715"/>
    <n v="356072000000"/>
    <n v="210.66"/>
    <n v="222.99"/>
    <n v="4728.3999999999996"/>
    <n v="12.33"/>
    <n v="5.5289999999999999"/>
    <n v="17.896000000000001"/>
    <n v="11.396000000000001"/>
    <n v="379.46899999999999"/>
    <n v="0"/>
    <n v="0.96199999999999997"/>
    <n v="19.634"/>
    <n v="264.298"/>
    <n v="1.58"/>
    <n v="0.75"/>
    <n v="196.07"/>
    <n v="93.073999999999998"/>
    <n v="25135.504000000001"/>
    <n v="168.41"/>
    <n v="151753000000"/>
  </r>
  <r>
    <x v="11"/>
    <x v="1"/>
    <s v="ZAF"/>
    <x v="1"/>
    <s v="Upper middle income"/>
    <n v="47566805"/>
    <n v="374889000000"/>
    <n v="210.09"/>
    <n v="212.29"/>
    <n v="4462.9859999999999"/>
    <n v="2.2000000000000002"/>
    <n v="1.036"/>
    <n v="22.776"/>
    <n v="13.829000000000001"/>
    <n v="478.82799999999997"/>
    <n v="0"/>
    <n v="1.1619999999999999"/>
    <n v="19.417000000000002"/>
    <n v="269.98200000000003"/>
    <n v="2.14"/>
    <n v="1.0189999999999999"/>
    <n v="197.23"/>
    <n v="93.879000000000005"/>
    <n v="25049.745999999999"/>
    <n v="169.39"/>
    <n v="135430000000"/>
  </r>
  <r>
    <x v="11"/>
    <x v="2"/>
    <s v="ZAF"/>
    <x v="1"/>
    <s v="Upper middle income"/>
    <n v="48019414"/>
    <n v="396138000000"/>
    <n v="220.58"/>
    <n v="222.83"/>
    <n v="4640.415"/>
    <n v="2.25"/>
    <n v="1.01"/>
    <n v="24.945"/>
    <n v="13.92"/>
    <n v="519.48699999999997"/>
    <n v="0"/>
    <n v="1.2"/>
    <n v="15.525"/>
    <n v="276.94200000000001"/>
    <n v="2.56"/>
    <n v="1.161"/>
    <n v="206.03"/>
    <n v="93.403999999999996"/>
    <n v="24180.324000000001"/>
    <n v="176.96"/>
    <n v="129088000000"/>
  </r>
  <r>
    <x v="11"/>
    <x v="3"/>
    <s v="ZAF"/>
    <x v="1"/>
    <s v="Upper middle income"/>
    <n v="48500351"/>
    <n v="413710000000"/>
    <n v="234.24"/>
    <n v="232.17"/>
    <n v="4786.9759999999997"/>
    <n v="-2.0699999999999998"/>
    <n v="-0.89200000000000002"/>
    <n v="24.728999999999999"/>
    <n v="10.525"/>
    <n v="509.863"/>
    <n v="0"/>
    <n v="0.83699999999999997"/>
    <n v="21.238"/>
    <n v="286.923"/>
    <n v="1.27"/>
    <n v="0.54200000000000004"/>
    <n v="220.31"/>
    <n v="94.052999999999997"/>
    <n v="25937.09"/>
    <n v="189.18"/>
    <n v="197019000000"/>
  </r>
  <r>
    <x v="11"/>
    <x v="4"/>
    <s v="ZAF"/>
    <x v="1"/>
    <s v="Upper middle income"/>
    <n v="48991420"/>
    <n v="439266000000"/>
    <n v="244.61"/>
    <n v="241.17"/>
    <n v="4922.6989999999996"/>
    <n v="-3.44"/>
    <n v="-1.4259999999999999"/>
    <n v="22.016999999999999"/>
    <n v="24.343"/>
    <n v="449.40699999999998"/>
    <n v="0"/>
    <n v="1.774"/>
    <n v="36.500999999999998"/>
    <n v="297.69200000000001"/>
    <n v="1.36"/>
    <n v="0.55600000000000005"/>
    <n v="229.88"/>
    <n v="93.977999999999994"/>
    <n v="28020.673999999999"/>
    <n v="197.38"/>
    <n v="255807000000"/>
  </r>
  <r>
    <x v="11"/>
    <x v="5"/>
    <s v="ZAF"/>
    <x v="1"/>
    <s v="Upper middle income"/>
    <n v="49490041"/>
    <n v="470189000000"/>
    <n v="244.93"/>
    <n v="242.59"/>
    <n v="4901.7939999999999"/>
    <n v="-2.34"/>
    <n v="-0.96499999999999997"/>
    <n v="20.172999999999998"/>
    <n v="34.555"/>
    <n v="407.62299999999999"/>
    <n v="3.6999999999999998E-2"/>
    <n v="2.661"/>
    <n v="23.823"/>
    <n v="298.21899999999999"/>
    <n v="1.79"/>
    <n v="0.73099999999999998"/>
    <n v="231.85"/>
    <n v="94.66"/>
    <n v="26254.201000000001"/>
    <n v="199.05"/>
    <n v="288867000000"/>
  </r>
  <r>
    <x v="11"/>
    <x v="6"/>
    <s v="ZAF"/>
    <x v="1"/>
    <s v="Upper middle income"/>
    <n v="49998271"/>
    <n v="505574000000"/>
    <n v="253.81"/>
    <n v="250.85"/>
    <n v="5017.174"/>
    <n v="-2.96"/>
    <n v="-1.18"/>
    <n v="31.452999999999999"/>
    <n v="37.447000000000003"/>
    <n v="629.08100000000002"/>
    <n v="8.0000000000000002E-3"/>
    <n v="2.8260000000000001"/>
    <n v="15.692"/>
    <n v="304.012"/>
    <n v="3.34"/>
    <n v="1.3160000000000001"/>
    <n v="240.44"/>
    <n v="94.731999999999999"/>
    <n v="26522.131000000001"/>
    <n v="206.47"/>
    <n v="303859000000"/>
  </r>
  <r>
    <x v="11"/>
    <x v="7"/>
    <s v="ZAF"/>
    <x v="1"/>
    <s v="Upper middle income"/>
    <n v="50528575"/>
    <n v="542976000000"/>
    <n v="263.49"/>
    <n v="260.33999999999997"/>
    <n v="5152.3320000000003"/>
    <n v="-3.15"/>
    <n v="-1.21"/>
    <n v="16.594000000000001"/>
    <n v="37.908999999999999"/>
    <n v="328.411"/>
    <n v="3.4000000000000002E-2"/>
    <n v="2.7850000000000001"/>
    <n v="12.712"/>
    <n v="310.24799999999999"/>
    <n v="3.33"/>
    <n v="1.264"/>
    <n v="248.84"/>
    <n v="94.44"/>
    <n v="26958.873"/>
    <n v="213.44"/>
    <n v="333077000000"/>
  </r>
  <r>
    <x v="11"/>
    <x v="8"/>
    <s v="ZAF"/>
    <x v="1"/>
    <s v="Upper middle income"/>
    <n v="51114595"/>
    <n v="571661000000"/>
    <n v="258.29000000000002"/>
    <n v="254.69"/>
    <n v="4982.7259999999997"/>
    <n v="-3.6"/>
    <n v="-1.413"/>
    <n v="14.75"/>
    <n v="39.219000000000001"/>
    <n v="288.57400000000001"/>
    <n v="3.5000000000000003E-2"/>
    <n v="2.6890000000000001"/>
    <n v="11.394"/>
    <n v="294.21300000000002"/>
    <n v="1.76"/>
    <n v="0.68100000000000005"/>
    <n v="243.53"/>
    <n v="94.284999999999997"/>
    <n v="28557.335999999999"/>
    <n v="209.06"/>
    <n v="316131000000"/>
  </r>
  <r>
    <x v="11"/>
    <x v="9"/>
    <s v="ZAF"/>
    <x v="1"/>
    <s v="Upper middle income"/>
    <n v="51728518"/>
    <n v="574768000000"/>
    <n v="249.56"/>
    <n v="247.8"/>
    <n v="4790.3950000000004"/>
    <n v="-1.76"/>
    <n v="-0.71"/>
    <n v="11.497"/>
    <n v="33.24"/>
    <n v="222.249"/>
    <n v="4.0000000000000001E-3"/>
    <n v="2.2890000000000001"/>
    <n v="4.9109999999999996"/>
    <n v="288.54599999999999"/>
    <n v="1.95"/>
    <n v="0.78100000000000003"/>
    <n v="234.8"/>
    <n v="94.085999999999999"/>
    <n v="28093.094000000001"/>
    <n v="201.62"/>
    <n v="329754000000"/>
  </r>
  <r>
    <x v="11"/>
    <x v="10"/>
    <s v="ZAF"/>
    <x v="1"/>
    <s v="Upper middle income"/>
    <n v="52344047"/>
    <n v="607602000000"/>
    <n v="259.58999999999997"/>
    <n v="257.12"/>
    <n v="4912.1149999999998"/>
    <n v="-2.4700000000000002"/>
    <n v="-0.96099999999999997"/>
    <n v="10.52"/>
    <n v="41.220999999999997"/>
    <n v="200.98699999999999"/>
    <n v="0.316"/>
    <n v="2.8180000000000001"/>
    <n v="4.6040000000000001"/>
    <n v="302.43700000000001"/>
    <n v="1.59"/>
    <n v="0.61299999999999999"/>
    <n v="244.47"/>
    <n v="94.174999999999997"/>
    <n v="27968.58"/>
    <n v="209.65"/>
    <n v="417364000000"/>
  </r>
  <r>
    <x v="11"/>
    <x v="11"/>
    <s v="ZAF"/>
    <x v="1"/>
    <s v="Upper middle income"/>
    <n v="52995212"/>
    <n v="645388000000"/>
    <n v="262.48"/>
    <n v="259.41000000000003"/>
    <n v="4894.9709999999995"/>
    <n v="-3.07"/>
    <n v="-1.1830000000000001"/>
    <n v="13.882999999999999"/>
    <n v="42.808999999999997"/>
    <n v="261.96100000000001"/>
    <n v="0.33900000000000002"/>
    <n v="2.9630000000000001"/>
    <n v="4.9109999999999996"/>
    <n v="306.03500000000003"/>
    <n v="3.53"/>
    <n v="1.345"/>
    <n v="246.05"/>
    <n v="93.74"/>
    <n v="27289.521000000001"/>
    <n v="210.92"/>
    <n v="458199000000"/>
  </r>
  <r>
    <x v="11"/>
    <x v="12"/>
    <s v="ZAF"/>
    <x v="1"/>
    <s v="Upper middle income"/>
    <n v="53782570"/>
    <n v="660853000000"/>
    <n v="257.87"/>
    <n v="252.84"/>
    <n v="4701.1509999999998"/>
    <n v="-5.03"/>
    <n v="-1.9890000000000001"/>
    <n v="11.93"/>
    <n v="43.573"/>
    <n v="221.827"/>
    <n v="0.69"/>
    <n v="3.0619999999999998"/>
    <n v="4.8719999999999999"/>
    <n v="313.721"/>
    <n v="1.51"/>
    <n v="0.58599999999999997"/>
    <n v="243.39"/>
    <n v="94.385000000000005"/>
    <n v="26478.907999999999"/>
    <n v="208.11"/>
    <n v="434401000000"/>
  </r>
  <r>
    <x v="11"/>
    <x v="13"/>
    <s v="ZAF"/>
    <x v="1"/>
    <s v="Upper middle income"/>
    <n v="54678789"/>
    <n v="677278000000"/>
    <n v="255.95"/>
    <n v="251.45"/>
    <n v="4598.6750000000002"/>
    <n v="-4.5"/>
    <n v="-1.79"/>
    <n v="12.798"/>
    <n v="40.543999999999997"/>
    <n v="234.06"/>
    <n v="1.18"/>
    <n v="2.8359999999999999"/>
    <n v="4.6580000000000004"/>
    <n v="319.58"/>
    <n v="1.67"/>
    <n v="0.65200000000000002"/>
    <n v="240.17"/>
    <n v="93.834999999999994"/>
    <n v="26163.136999999999"/>
    <n v="204.68"/>
    <n v="400886000000"/>
  </r>
  <r>
    <x v="11"/>
    <x v="14"/>
    <s v="ZAF"/>
    <x v="1"/>
    <s v="Upper middle income"/>
    <n v="55594840"/>
    <n v="686854000000"/>
    <n v="254.77"/>
    <n v="252.11"/>
    <n v="4534.7730000000001"/>
    <n v="-2.66"/>
    <n v="-1.0549999999999999"/>
    <n v="10.304"/>
    <n v="42.981999999999999"/>
    <n v="185.333"/>
    <n v="1.232"/>
    <n v="2.9710000000000001"/>
    <n v="4.306"/>
    <n v="316.09100000000001"/>
    <n v="4.3099999999999996"/>
    <n v="1.6919999999999999"/>
    <n v="236.67"/>
    <n v="92.896000000000001"/>
    <n v="26046.393"/>
    <n v="201.67"/>
    <n v="381199000000"/>
  </r>
  <r>
    <x v="11"/>
    <x v="15"/>
    <s v="ZAF"/>
    <x v="1"/>
    <s v="Upper middle income"/>
    <n v="56723536"/>
    <n v="695933000000"/>
    <n v="250.05"/>
    <n v="248.5"/>
    <n v="4380.8969999999999"/>
    <n v="-1.55"/>
    <n v="-0.624"/>
    <n v="11.93"/>
    <n v="43.186"/>
    <n v="210.32599999999999"/>
    <n v="0"/>
    <n v="3.0550000000000002"/>
    <n v="4.306"/>
    <n v="344.8"/>
    <n v="6.52"/>
    <n v="2.6070000000000002"/>
    <n v="231.29"/>
    <n v="92.497"/>
    <n v="24952.884999999998"/>
    <n v="197.78"/>
    <n v="346710000000"/>
  </r>
  <r>
    <x v="11"/>
    <x v="16"/>
    <s v="ZAF"/>
    <x v="1"/>
    <s v="Upper middle income"/>
    <n v="57259550"/>
    <n v="700558000000"/>
    <n v="252.81"/>
    <n v="246.82"/>
    <n v="4310.5469999999996"/>
    <n v="-5.99"/>
    <n v="-2.427"/>
    <n v="10.531000000000001"/>
    <n v="36.546999999999997"/>
    <n v="183.923"/>
    <n v="0"/>
    <n v="2.4729999999999999"/>
    <n v="2.7120000000000002"/>
    <n v="331.59800000000001"/>
    <n v="8.17"/>
    <n v="3.2320000000000002"/>
    <n v="229.61"/>
    <n v="90.822999999999993"/>
    <n v="25848.275000000001"/>
    <n v="197.04"/>
    <n v="323586000000"/>
  </r>
  <r>
    <x v="11"/>
    <x v="17"/>
    <s v="ZAF"/>
    <x v="1"/>
    <s v="Upper middle income"/>
    <n v="57635158"/>
    <n v="708670000000"/>
    <n v="255.14"/>
    <n v="248.51"/>
    <n v="4311.7780000000002"/>
    <n v="-6.63"/>
    <n v="-2.6680000000000001"/>
    <n v="9.9649999999999999"/>
    <n v="40.109000000000002"/>
    <n v="172.898"/>
    <n v="0"/>
    <n v="2.7240000000000002"/>
    <n v="2.4079999999999999"/>
    <n v="332.07"/>
    <n v="12.13"/>
    <n v="4.7539999999999996"/>
    <n v="228.82"/>
    <n v="89.683999999999997"/>
    <n v="25594.476999999999"/>
    <n v="196.18"/>
    <n v="381449000000"/>
  </r>
  <r>
    <x v="11"/>
    <x v="18"/>
    <s v="ZAF"/>
    <x v="1"/>
    <s v="Upper middle income"/>
    <n v="58613001"/>
    <n v="719458000000"/>
    <n v="256.3"/>
    <n v="251.6"/>
    <n v="4292.5630000000001"/>
    <n v="-4.7"/>
    <n v="-1.8680000000000001"/>
    <n v="9.4290000000000003"/>
    <n v="44.107999999999997"/>
    <n v="160.869"/>
    <n v="0"/>
    <n v="3.1339999999999999"/>
    <n v="2.1389999999999998"/>
    <n v="321.92399999999998"/>
    <n v="12.48"/>
    <n v="4.8689999999999998"/>
    <n v="232.24"/>
    <n v="90.613"/>
    <n v="24053.697"/>
    <n v="198.55"/>
    <n v="405261000000"/>
  </r>
  <r>
    <x v="11"/>
    <x v="19"/>
    <s v="ZAF"/>
    <x v="1"/>
    <s v="Upper middle income"/>
    <n v="59587880"/>
    <n v="721642000000"/>
    <n v="253.07"/>
    <n v="247.9"/>
    <n v="4160.2420000000002"/>
    <n v="-5.17"/>
    <n v="-2.0859999999999999"/>
    <n v="8.9220000000000006"/>
    <n v="42.612000000000002"/>
    <n v="149.72800000000001"/>
    <n v="0"/>
    <n v="2.9009999999999998"/>
    <n v="1.899"/>
    <n v="315.92099999999999"/>
    <n v="13.2"/>
    <n v="5.2160000000000002"/>
    <n v="226.62"/>
    <n v="89.548000000000002"/>
    <n v="24698.113000000001"/>
    <n v="193.41"/>
    <n v="389330000000"/>
  </r>
  <r>
    <x v="11"/>
    <x v="20"/>
    <s v="ZAF"/>
    <x v="1"/>
    <s v="Upper middle income"/>
    <n v="60562374"/>
    <n v="675872000000"/>
    <n v="240.74"/>
    <n v="236.92"/>
    <n v="3912"/>
    <n v="-3.82"/>
    <n v="-1.6120000000000001"/>
    <n v="8.4420000000000002"/>
    <n v="39.704999999999998"/>
    <n v="139.393"/>
    <n v="0"/>
    <n v="2.8420000000000001"/>
    <n v="1.6859999999999999"/>
    <n v="274.01400000000001"/>
    <n v="15.27"/>
    <n v="6.343"/>
    <n v="215.57"/>
    <n v="89.545000000000002"/>
    <n v="23110.006000000001"/>
    <n v="183.72"/>
    <n v="337975000000"/>
  </r>
  <r>
    <x v="11"/>
    <x v="21"/>
    <s v="ZAF"/>
    <x v="1"/>
    <s v="Upper middle income"/>
    <n v="61502602"/>
    <n v="709078000000"/>
    <n v="245.46"/>
    <n v="241.89"/>
    <n v="3933.0039999999999"/>
    <n v="-3.57"/>
    <n v="-1.476"/>
    <n v="7.9880000000000004"/>
    <n v="41.993000000000002"/>
    <n v="129.881"/>
    <n v="0"/>
    <n v="2.9940000000000002"/>
    <n v="1.498"/>
    <n v="288.233"/>
    <n v="18.920000000000002"/>
    <n v="7.7080000000000002"/>
    <n v="214.19"/>
    <n v="87.260999999999996"/>
    <n v="22855.134999999998"/>
    <n v="182.01"/>
    <n v="419986000000"/>
  </r>
  <r>
    <x v="11"/>
    <x v="22"/>
    <s v="ZAF"/>
    <x v="1"/>
    <s v="Upper middle income"/>
    <n v="62378417"/>
    <n v="723559000000"/>
    <n v="239.17"/>
    <n v="237.66"/>
    <n v="3809.9720000000002"/>
    <n v="-1.51"/>
    <n v="-0.63500000000000001"/>
    <n v="7.5590000000000002"/>
    <n v="42.695"/>
    <n v="121.18"/>
    <n v="0"/>
    <n v="3.1789999999999998"/>
    <n v="1.33"/>
    <n v="287.8"/>
    <n v="23.62"/>
    <n v="9.8759999999999994"/>
    <n v="205.45"/>
    <n v="85.900999999999996"/>
    <n v="21580.688999999998"/>
    <n v="174.36"/>
    <n v="407596000000"/>
  </r>
  <r>
    <x v="11"/>
    <x v="23"/>
    <s v="ZAF"/>
    <x v="1"/>
    <s v="Upper middle income"/>
    <n v="63212386"/>
    <n v="694641000000"/>
    <n v="232.95"/>
    <n v="232.4"/>
    <n v="3676.4949999999999"/>
    <n v="-0.55000000000000004"/>
    <n v="-0.23699999999999999"/>
    <n v="7.1520000000000001"/>
    <n v="47.448999999999998"/>
    <n v="113.142"/>
    <n v="0"/>
    <n v="3.4780000000000002"/>
    <n v="1.181"/>
    <n v="290.03500000000003"/>
    <n v="28.88"/>
    <n v="12.398"/>
    <n v="195.97"/>
    <n v="84.125"/>
    <n v="21641.15"/>
    <n v="166.42"/>
    <n v="381441000000"/>
  </r>
  <r>
    <x v="12"/>
    <x v="0"/>
    <s v="SDN"/>
    <x v="1"/>
    <s v="Low income"/>
    <n v="27816748"/>
    <n v="40449087186"/>
    <n v="2.54"/>
    <n v="2.54"/>
    <n v="91.311999999999998"/>
    <n v="0"/>
    <n v="0"/>
    <n v="0"/>
    <n v="0"/>
    <n v="0"/>
    <n v="0"/>
    <n v="0"/>
    <n v="102.9"/>
    <n v="34.828000000000003"/>
    <n v="1.27"/>
    <n v="50"/>
    <n v="1.27"/>
    <n v="50"/>
    <n v="1034.2550000000001"/>
    <n v="0.89"/>
    <n v="12257299147"/>
  </r>
  <r>
    <x v="12"/>
    <x v="1"/>
    <s v="SDN"/>
    <x v="1"/>
    <s v="Low income"/>
    <n v="28516774"/>
    <n v="51863993914"/>
    <n v="2.68"/>
    <n v="2.68"/>
    <n v="93.98"/>
    <n v="0"/>
    <n v="0"/>
    <n v="0"/>
    <n v="0"/>
    <n v="0"/>
    <n v="0"/>
    <n v="0"/>
    <n v="119.73399999999999"/>
    <n v="35.704999999999998"/>
    <n v="1.36"/>
    <n v="50.746000000000002"/>
    <n v="1.32"/>
    <n v="49.253999999999998"/>
    <n v="1082.4169999999999"/>
    <n v="0.92"/>
    <n v="15716361792"/>
  </r>
  <r>
    <x v="12"/>
    <x v="2"/>
    <s v="SDN"/>
    <x v="1"/>
    <s v="Low income"/>
    <n v="29228728"/>
    <n v="59852523682"/>
    <n v="3"/>
    <n v="3"/>
    <n v="102.639"/>
    <n v="0"/>
    <n v="0"/>
    <n v="0"/>
    <n v="0"/>
    <n v="0"/>
    <n v="0"/>
    <n v="0"/>
    <n v="135.30199999999999"/>
    <n v="36.595999999999997"/>
    <n v="1.39"/>
    <n v="46.332999999999998"/>
    <n v="1.61"/>
    <n v="53.667000000000002"/>
    <n v="1266.991"/>
    <n v="1.1200000000000001"/>
    <n v="18137128388"/>
  </r>
  <r>
    <x v="12"/>
    <x v="3"/>
    <s v="SDN"/>
    <x v="1"/>
    <s v="Low income"/>
    <n v="29896038"/>
    <n v="70472484917"/>
    <n v="3.47"/>
    <n v="3.47"/>
    <n v="116.069"/>
    <n v="0"/>
    <n v="0"/>
    <n v="0"/>
    <n v="0"/>
    <n v="0"/>
    <n v="0"/>
    <n v="0"/>
    <n v="150.166"/>
    <n v="37.432000000000002"/>
    <n v="1.28"/>
    <n v="36.887999999999998"/>
    <n v="2.19"/>
    <n v="63.112000000000002"/>
    <n v="1296.326"/>
    <n v="1.5"/>
    <n v="21355298460"/>
  </r>
  <r>
    <x v="12"/>
    <x v="4"/>
    <s v="SDN"/>
    <x v="1"/>
    <s v="Low income"/>
    <n v="30556641"/>
    <n v="87931823927"/>
    <n v="3.6"/>
    <n v="3.6"/>
    <n v="117.81399999999999"/>
    <n v="0"/>
    <n v="0"/>
    <n v="0"/>
    <n v="0"/>
    <n v="0"/>
    <n v="0"/>
    <n v="0"/>
    <n v="167.24"/>
    <n v="38.259"/>
    <n v="1.24"/>
    <n v="34.444000000000003"/>
    <n v="2.36"/>
    <n v="65.555999999999997"/>
    <n v="1402.636"/>
    <n v="1.61"/>
    <n v="26646007251"/>
  </r>
  <r>
    <x v="12"/>
    <x v="5"/>
    <s v="SDN"/>
    <x v="1"/>
    <s v="Low income"/>
    <n v="31262447"/>
    <n v="116103000000"/>
    <n v="3.96"/>
    <n v="3.96"/>
    <n v="126.67"/>
    <n v="0"/>
    <n v="0"/>
    <n v="0"/>
    <n v="0"/>
    <n v="0"/>
    <n v="0"/>
    <n v="0"/>
    <n v="168.24"/>
    <n v="39.143000000000001"/>
    <n v="1.39"/>
    <n v="35.100999999999999"/>
    <n v="2.57"/>
    <n v="64.899000000000001"/>
    <n v="1593.2149999999999"/>
    <n v="1.75"/>
    <n v="35182711988"/>
  </r>
  <r>
    <x v="12"/>
    <x v="6"/>
    <s v="SDN"/>
    <x v="1"/>
    <s v="Low income"/>
    <n v="31992438"/>
    <n v="149371000000"/>
    <n v="4.6500000000000004"/>
    <n v="4.6500000000000004"/>
    <n v="145.34700000000001"/>
    <n v="0"/>
    <n v="0"/>
    <n v="0"/>
    <n v="0"/>
    <n v="0"/>
    <n v="0"/>
    <n v="0"/>
    <n v="204.03299999999999"/>
    <n v="40.057000000000002"/>
    <n v="1.5"/>
    <n v="32.258000000000003"/>
    <n v="3.15"/>
    <n v="67.742000000000004"/>
    <n v="1865.1569999999999"/>
    <n v="2.13"/>
    <n v="45263831634"/>
  </r>
  <r>
    <x v="12"/>
    <x v="7"/>
    <s v="SDN"/>
    <x v="1"/>
    <s v="Low income"/>
    <n v="32764139"/>
    <n v="196152000000"/>
    <n v="5.16"/>
    <n v="5.16"/>
    <n v="157.489"/>
    <n v="0"/>
    <n v="0"/>
    <n v="0"/>
    <n v="0"/>
    <n v="0"/>
    <n v="0"/>
    <n v="0"/>
    <n v="276.76100000000002"/>
    <n v="41.023000000000003"/>
    <n v="1.59"/>
    <n v="30.814"/>
    <n v="3.57"/>
    <n v="69.186000000000007"/>
    <n v="1933.7860000000001"/>
    <n v="2.41"/>
    <n v="59440139775"/>
  </r>
  <r>
    <x v="12"/>
    <x v="8"/>
    <s v="SDN"/>
    <x v="1"/>
    <s v="Low income"/>
    <n v="33623980"/>
    <n v="213949000000"/>
    <n v="5.64"/>
    <n v="5.64"/>
    <n v="167.73699999999999"/>
    <n v="0"/>
    <n v="0"/>
    <n v="0"/>
    <n v="0"/>
    <n v="0"/>
    <n v="0"/>
    <n v="0"/>
    <n v="262.49"/>
    <n v="42.098999999999997"/>
    <n v="1.6"/>
    <n v="28.369"/>
    <n v="4.04"/>
    <n v="71.631"/>
    <n v="2060.739"/>
    <n v="2.72"/>
    <n v="64833083257"/>
  </r>
  <r>
    <x v="12"/>
    <x v="9"/>
    <s v="SDN"/>
    <x v="1"/>
    <s v="Low income"/>
    <n v="34569114"/>
    <n v="170349000000"/>
    <n v="6.61"/>
    <n v="6.61"/>
    <n v="191.21100000000001"/>
    <n v="0"/>
    <n v="0"/>
    <n v="0"/>
    <n v="0"/>
    <n v="0"/>
    <n v="0"/>
    <n v="0"/>
    <n v="272.23399999999998"/>
    <n v="43.283000000000001"/>
    <n v="3.35"/>
    <n v="50.680999999999997"/>
    <n v="3.26"/>
    <n v="49.319000000000003"/>
    <n v="2072.491"/>
    <n v="2.2599999999999998"/>
    <n v="51621044077"/>
  </r>
  <r>
    <x v="12"/>
    <x v="10"/>
    <s v="SDN"/>
    <x v="1"/>
    <s v="Low income"/>
    <n v="35414403"/>
    <n v="194578000000"/>
    <n v="7.58"/>
    <n v="7.58"/>
    <n v="214.03700000000001"/>
    <n v="0"/>
    <n v="0"/>
    <n v="0"/>
    <n v="0"/>
    <n v="0"/>
    <n v="0"/>
    <n v="0"/>
    <n v="264.70600000000002"/>
    <n v="44.341000000000001"/>
    <n v="6.28"/>
    <n v="82.85"/>
    <n v="1.3"/>
    <n v="17.149999999999999"/>
    <n v="2158.8330000000001"/>
    <n v="1.04"/>
    <n v="58962978034"/>
  </r>
  <r>
    <x v="12"/>
    <x v="11"/>
    <s v="SDN"/>
    <x v="1"/>
    <s v="Low income"/>
    <n v="36140808"/>
    <n v="181561000000"/>
    <n v="8.51"/>
    <n v="8.51"/>
    <n v="235.46799999999999"/>
    <n v="0"/>
    <n v="0"/>
    <n v="0"/>
    <n v="0"/>
    <n v="0"/>
    <n v="0"/>
    <n v="0"/>
    <n v="166.70599999999999"/>
    <n v="45.250999999999998"/>
    <n v="6.52"/>
    <n v="76.616"/>
    <n v="1.99"/>
    <n v="23.384"/>
    <n v="2017.89"/>
    <n v="1.49"/>
    <n v="55018567211"/>
  </r>
  <r>
    <x v="12"/>
    <x v="12"/>
    <s v="SDN"/>
    <x v="1"/>
    <s v="Low income"/>
    <n v="36923175"/>
    <n v="124189000000"/>
    <n v="9.5"/>
    <n v="9.57"/>
    <n v="259.18700000000001"/>
    <n v="7.0000000000000007E-2"/>
    <n v="0.73099999999999998"/>
    <n v="0"/>
    <n v="0"/>
    <n v="0"/>
    <n v="0"/>
    <n v="0"/>
    <n v="59.228999999999999"/>
    <n v="46.23"/>
    <n v="6.68"/>
    <n v="70.316000000000003"/>
    <n v="2.82"/>
    <n v="29.684000000000001"/>
    <n v="1899.232"/>
    <n v="2.0499999999999998"/>
    <n v="37632919967"/>
  </r>
  <r>
    <x v="12"/>
    <x v="13"/>
    <s v="SDN"/>
    <x v="1"/>
    <s v="Low income"/>
    <n v="37785852"/>
    <n v="141979000000"/>
    <n v="10.35"/>
    <n v="10.67"/>
    <n v="282.38099999999997"/>
    <n v="0.32"/>
    <n v="2.9990000000000001"/>
    <n v="0"/>
    <n v="0"/>
    <n v="0"/>
    <n v="0"/>
    <n v="0"/>
    <n v="67.513999999999996"/>
    <n v="47.31"/>
    <n v="8.3800000000000008"/>
    <n v="80.965999999999994"/>
    <n v="1.97"/>
    <n v="19.033999999999999"/>
    <n v="1888.242"/>
    <n v="1.53"/>
    <n v="43024018082"/>
  </r>
  <r>
    <x v="12"/>
    <x v="14"/>
    <s v="SDN"/>
    <x v="1"/>
    <s v="Low income"/>
    <n v="38823324"/>
    <n v="163405000000"/>
    <n v="11.41"/>
    <n v="11.85"/>
    <n v="305.22899999999998"/>
    <n v="0.44"/>
    <n v="3.7130000000000001"/>
    <n v="0"/>
    <n v="0"/>
    <n v="0"/>
    <n v="0"/>
    <n v="0"/>
    <n v="68.518000000000001"/>
    <n v="48.609000000000002"/>
    <n v="8.9499999999999993"/>
    <n v="78.44"/>
    <n v="2.46"/>
    <n v="21.56"/>
    <n v="1871.96"/>
    <n v="1.86"/>
    <n v="49516748618"/>
  </r>
  <r>
    <x v="12"/>
    <x v="15"/>
    <s v="SDN"/>
    <x v="1"/>
    <s v="Low income"/>
    <n v="40024433"/>
    <n v="170698000000"/>
    <n v="13.09"/>
    <n v="13.22"/>
    <n v="330.298"/>
    <n v="0.13"/>
    <n v="0.98299999999999998"/>
    <n v="0"/>
    <n v="0"/>
    <n v="0"/>
    <n v="0"/>
    <n v="0"/>
    <n v="62.478000000000002"/>
    <n v="50.113"/>
    <n v="8.4600000000000009"/>
    <n v="64.629000000000005"/>
    <n v="4.63"/>
    <n v="35.371000000000002"/>
    <n v="1915.481"/>
    <n v="3.27"/>
    <n v="51726758677"/>
  </r>
  <r>
    <x v="12"/>
    <x v="16"/>
    <s v="SDN"/>
    <x v="1"/>
    <s v="Low income"/>
    <n v="41259892"/>
    <n v="140680000000"/>
    <n v="14.57"/>
    <n v="15.01"/>
    <n v="363.79199999999997"/>
    <n v="0.44"/>
    <n v="2.931"/>
    <n v="0"/>
    <n v="0"/>
    <n v="0"/>
    <n v="0"/>
    <n v="0"/>
    <n v="48.3"/>
    <n v="51.66"/>
    <n v="8.19"/>
    <n v="56.210999999999999"/>
    <n v="6.38"/>
    <n v="43.789000000000001"/>
    <n v="2243.9679999999998"/>
    <n v="4.42"/>
    <n v="42630376000"/>
  </r>
  <r>
    <x v="12"/>
    <x v="17"/>
    <s v="SDN"/>
    <x v="1"/>
    <s v="Low income"/>
    <n v="42714311"/>
    <n v="136236000000"/>
    <n v="15.7"/>
    <n v="16.59"/>
    <n v="388.39400000000001"/>
    <n v="0.89"/>
    <n v="5.3650000000000002"/>
    <n v="0"/>
    <n v="0"/>
    <n v="0"/>
    <n v="0"/>
    <n v="0"/>
    <n v="40.109000000000002"/>
    <n v="53.481000000000002"/>
    <n v="9.5"/>
    <n v="60.51"/>
    <n v="6.2"/>
    <n v="39.49"/>
    <n v="2182.0050000000001"/>
    <n v="4.33"/>
    <n v="41283617976"/>
  </r>
  <r>
    <x v="12"/>
    <x v="18"/>
    <s v="SDN"/>
    <x v="1"/>
    <s v="Low income"/>
    <n v="44230597"/>
    <n v="106701000000"/>
    <n v="16.399999999999999"/>
    <n v="17.2"/>
    <n v="388.87099999999998"/>
    <n v="0.8"/>
    <n v="4.6509999999999998"/>
    <n v="0"/>
    <n v="0"/>
    <n v="0"/>
    <n v="0"/>
    <n v="0"/>
    <n v="42.506999999999998"/>
    <n v="55.378999999999998"/>
    <n v="9.8000000000000007"/>
    <n v="59.756"/>
    <n v="6.6"/>
    <n v="40.244"/>
    <n v="2225.5619999999999"/>
    <n v="4.5999999999999996"/>
    <n v="32333780383"/>
  </r>
  <r>
    <x v="12"/>
    <x v="19"/>
    <s v="SDN"/>
    <x v="1"/>
    <s v="Low income"/>
    <n v="45548179"/>
    <n v="106716000000"/>
    <n v="16.22"/>
    <n v="16.43"/>
    <n v="360.71699999999998"/>
    <n v="0.21"/>
    <n v="1.278"/>
    <n v="0"/>
    <n v="0"/>
    <n v="0"/>
    <n v="0"/>
    <n v="0"/>
    <n v="41.343000000000004"/>
    <n v="57.029000000000003"/>
    <n v="10.34"/>
    <n v="63.747999999999998"/>
    <n v="5.88"/>
    <n v="36.252000000000002"/>
    <n v="2052.8739999999998"/>
    <n v="4.13"/>
    <n v="32338079165"/>
  </r>
  <r>
    <x v="12"/>
    <x v="20"/>
    <s v="SDN"/>
    <x v="1"/>
    <s v="Low income"/>
    <n v="46789237"/>
    <n v="89214159375"/>
    <n v="17.2"/>
    <n v="17.93"/>
    <n v="383.20800000000003"/>
    <n v="0.73"/>
    <n v="4.0709999999999997"/>
    <n v="0"/>
    <n v="0"/>
    <n v="0"/>
    <n v="0"/>
    <n v="0"/>
    <n v="36.401000000000003"/>
    <n v="58.582999999999998"/>
    <n v="11.15"/>
    <n v="64.825999999999993"/>
    <n v="6.05"/>
    <n v="35.173999999999999"/>
    <n v="1732.914"/>
    <n v="4.26"/>
    <n v="27034593750"/>
  </r>
  <r>
    <x v="12"/>
    <x v="21"/>
    <s v="SDN"/>
    <x v="1"/>
    <s v="Low income"/>
    <n v="48066930"/>
    <n v="112957000000"/>
    <n v="17.7"/>
    <n v="18.63"/>
    <n v="387.58499999999998"/>
    <n v="0.93"/>
    <n v="4.992"/>
    <n v="0"/>
    <n v="0"/>
    <n v="0"/>
    <n v="0"/>
    <n v="0"/>
    <n v="36.712000000000003"/>
    <n v="60.183"/>
    <n v="11.09"/>
    <n v="62.655000000000001"/>
    <n v="6.61"/>
    <n v="37.344999999999999"/>
    <n v="1592.538"/>
    <n v="4.63"/>
    <n v="34229513775"/>
  </r>
  <r>
    <x v="12"/>
    <x v="22"/>
    <s v="SDN"/>
    <x v="1"/>
    <s v="Low income"/>
    <n v="49383344"/>
    <n v="170501000000"/>
    <n v="16.78"/>
    <n v="17.66"/>
    <n v="357.61"/>
    <n v="0.88"/>
    <n v="4.9829999999999997"/>
    <n v="0"/>
    <n v="0"/>
    <n v="0"/>
    <n v="0"/>
    <n v="0"/>
    <n v="35.488"/>
    <n v="61.831000000000003"/>
    <n v="12.04"/>
    <n v="71.751999999999995"/>
    <n v="4.74"/>
    <n v="28.248000000000001"/>
    <n v="1790.4"/>
    <n v="3.43"/>
    <n v="51666875363"/>
  </r>
  <r>
    <x v="12"/>
    <x v="23"/>
    <s v="SDN"/>
    <x v="1"/>
    <s v="Low income"/>
    <n v="50042800"/>
    <n v="131664000000"/>
    <n v="14.51"/>
    <n v="15.16"/>
    <n v="302.94099999999997"/>
    <n v="0.65"/>
    <n v="4.2880000000000003"/>
    <n v="0"/>
    <n v="0"/>
    <n v="0"/>
    <n v="0"/>
    <n v="0"/>
    <n v="32.914999999999999"/>
    <n v="34.460999999999999"/>
    <n v="11.75"/>
    <n v="80.978999999999999"/>
    <n v="2.76"/>
    <n v="19.021000000000001"/>
    <n v="1800.9770000000001"/>
    <n v="2.12"/>
    <n v="39898289821"/>
  </r>
  <r>
    <x v="13"/>
    <x v="0"/>
    <s v="TUN"/>
    <x v="0"/>
    <s v="Lower middle income"/>
    <n v="9764940"/>
    <n v="71818861344"/>
    <n v="10.59"/>
    <n v="10.59"/>
    <n v="1084.492"/>
    <n v="0"/>
    <n v="0"/>
    <n v="22.864000000000001"/>
    <n v="10.917999999999999"/>
    <n v="2341.3890000000001"/>
    <n v="87.63"/>
    <n v="54.331000000000003"/>
    <n v="42.588999999999999"/>
    <n v="49.819000000000003"/>
    <n v="0.08"/>
    <n v="0.755"/>
    <n v="10.51"/>
    <n v="99.245000000000005"/>
    <n v="9104.6769999999997"/>
    <n v="6.21"/>
    <n v="21473528161"/>
  </r>
  <r>
    <x v="13"/>
    <x v="1"/>
    <s v="TUN"/>
    <x v="0"/>
    <s v="Lower middle income"/>
    <n v="9869679"/>
    <n v="75444595962"/>
    <n v="11.38"/>
    <n v="11.39"/>
    <n v="1154.04"/>
    <n v="0.01"/>
    <n v="8.7999999999999995E-2"/>
    <n v="27.363"/>
    <n v="11.988"/>
    <n v="2772.4560000000001"/>
    <n v="89.543000000000006"/>
    <n v="55.517000000000003"/>
    <n v="38.948999999999998"/>
    <n v="50.353999999999999"/>
    <n v="7.0000000000000007E-2"/>
    <n v="0.61499999999999999"/>
    <n v="11.31"/>
    <n v="99.385000000000005"/>
    <n v="10003.665999999999"/>
    <n v="6.67"/>
    <n v="22065832449"/>
  </r>
  <r>
    <x v="13"/>
    <x v="2"/>
    <s v="TUN"/>
    <x v="0"/>
    <s v="Lower middle income"/>
    <n v="9971521"/>
    <n v="76877531228"/>
    <n v="11.84"/>
    <n v="11.78"/>
    <n v="1181.364"/>
    <n v="-0.06"/>
    <n v="-0.50900000000000001"/>
    <n v="26.146999999999998"/>
    <n v="12.412000000000001"/>
    <n v="2622.1790000000001"/>
    <n v="89.105000000000004"/>
    <n v="55.244999999999997"/>
    <n v="40.542000000000002"/>
    <n v="50.872999999999998"/>
    <n v="0.09"/>
    <n v="0.76"/>
    <n v="11.75"/>
    <n v="99.24"/>
    <n v="9796.6579999999994"/>
    <n v="6.92"/>
    <n v="23141616605"/>
  </r>
  <r>
    <x v="13"/>
    <x v="3"/>
    <s v="TUN"/>
    <x v="0"/>
    <s v="Lower middle income"/>
    <n v="10071638"/>
    <n v="81240064067"/>
    <n v="11.28"/>
    <n v="11.26"/>
    <n v="1117.991"/>
    <n v="-0.02"/>
    <n v="-0.17799999999999999"/>
    <n v="27.85"/>
    <n v="12.929"/>
    <n v="2765.1619999999998"/>
    <n v="97.429000000000002"/>
    <n v="60.405999999999999"/>
    <n v="36.866999999999997"/>
    <n v="51.384"/>
    <n v="0.19"/>
    <n v="1.6839999999999999"/>
    <n v="11.09"/>
    <n v="98.316000000000003"/>
    <n v="9540.3359999999993"/>
    <n v="6.46"/>
    <n v="27453902261"/>
  </r>
  <r>
    <x v="13"/>
    <x v="4"/>
    <s v="TUN"/>
    <x v="0"/>
    <s v="Lower middle income"/>
    <n v="10166170"/>
    <n v="86232298416"/>
    <n v="11.93"/>
    <n v="11.9"/>
    <n v="1170.549"/>
    <n v="-0.03"/>
    <n v="-0.252"/>
    <n v="29.187000000000001"/>
    <n v="13.635"/>
    <n v="2871.0390000000002"/>
    <n v="97.15"/>
    <n v="60.232999999999997"/>
    <n v="38.878999999999998"/>
    <n v="51.866"/>
    <n v="0.19"/>
    <n v="1.593"/>
    <n v="11.74"/>
    <n v="98.406999999999996"/>
    <n v="9638.2080000000005"/>
    <n v="6.84"/>
    <n v="31183885241"/>
  </r>
  <r>
    <x v="13"/>
    <x v="5"/>
    <s v="TUN"/>
    <x v="0"/>
    <s v="Lower middle income"/>
    <n v="10255474"/>
    <n v="89804282207"/>
    <n v="12.66"/>
    <n v="12.66"/>
    <n v="1234.463"/>
    <n v="0"/>
    <n v="0"/>
    <n v="30.404"/>
    <n v="14.435"/>
    <n v="2964.623"/>
    <n v="96.918999999999997"/>
    <n v="60.09"/>
    <n v="39.564999999999998"/>
    <n v="52.322000000000003"/>
    <n v="0.18"/>
    <n v="1.4219999999999999"/>
    <n v="12.48"/>
    <n v="98.578000000000003"/>
    <n v="10374.793"/>
    <n v="7.27"/>
    <n v="32272186695"/>
  </r>
  <r>
    <x v="13"/>
    <x v="6"/>
    <s v="TUN"/>
    <x v="0"/>
    <s v="Lower middle income"/>
    <n v="10346408"/>
    <n v="95016289901"/>
    <n v="13.07"/>
    <n v="13.08"/>
    <n v="1264.2070000000001"/>
    <n v="0.01"/>
    <n v="7.5999999999999998E-2"/>
    <n v="30.404"/>
    <n v="14.047000000000001"/>
    <n v="2938.567"/>
    <n v="91.353999999999999"/>
    <n v="56.639000000000003"/>
    <n v="37.936999999999998"/>
    <n v="52.786000000000001"/>
    <n v="0.13"/>
    <n v="0.995"/>
    <n v="12.94"/>
    <n v="99.004999999999995"/>
    <n v="9707.5030000000006"/>
    <n v="7.6"/>
    <n v="34376664601"/>
  </r>
  <r>
    <x v="13"/>
    <x v="7"/>
    <s v="TUN"/>
    <x v="0"/>
    <s v="Lower middle income"/>
    <n v="10441705"/>
    <n v="101102000000"/>
    <n v="13.74"/>
    <n v="13.73"/>
    <n v="1314.9190000000001"/>
    <n v="-0.01"/>
    <n v="-7.2999999999999995E-2"/>
    <n v="19.215"/>
    <n v="14.340999999999999"/>
    <n v="1840.2249999999999"/>
    <n v="88.718999999999994"/>
    <n v="55.006"/>
    <n v="52.87"/>
    <n v="53.271999999999998"/>
    <n v="0.09"/>
    <n v="0.65500000000000003"/>
    <n v="13.65"/>
    <n v="99.344999999999999"/>
    <n v="8575.3369999999995"/>
    <n v="8.0500000000000007"/>
    <n v="38915353867"/>
  </r>
  <r>
    <x v="13"/>
    <x v="8"/>
    <s v="TUN"/>
    <x v="0"/>
    <s v="Lower middle income"/>
    <n v="10542637"/>
    <n v="105766000000"/>
    <n v="14.37"/>
    <n v="14.36"/>
    <n v="1362.088"/>
    <n v="-0.01"/>
    <n v="-7.0000000000000007E-2"/>
    <n v="33.258000000000003"/>
    <n v="15.976000000000001"/>
    <n v="3154.6410000000001"/>
    <n v="94.501999999999995"/>
    <n v="58.591000000000001"/>
    <n v="48.311"/>
    <n v="53.786999999999999"/>
    <n v="7.0000000000000007E-2"/>
    <n v="0.48699999999999999"/>
    <n v="14.3"/>
    <n v="99.513000000000005"/>
    <n v="9829.7960000000003"/>
    <n v="8.3699999999999992"/>
    <n v="44859439902"/>
  </r>
  <r>
    <x v="13"/>
    <x v="9"/>
    <s v="TUN"/>
    <x v="0"/>
    <s v="Lower middle income"/>
    <n v="10650682"/>
    <n v="109300000000"/>
    <n v="15.26"/>
    <n v="15.3"/>
    <n v="1436.528"/>
    <n v="0.04"/>
    <n v="0.26100000000000001"/>
    <n v="20.268000000000001"/>
    <n v="17.117999999999999"/>
    <n v="1903.0229999999999"/>
    <n v="95.346999999999994"/>
    <n v="59.115000000000002"/>
    <n v="45.52"/>
    <n v="54.338000000000001"/>
    <n v="0.18"/>
    <n v="1.18"/>
    <n v="15.08"/>
    <n v="98.82"/>
    <n v="8095.1559999999999"/>
    <n v="8.81"/>
    <n v="43455740497"/>
  </r>
  <r>
    <x v="13"/>
    <x v="10"/>
    <s v="TUN"/>
    <x v="0"/>
    <s v="Lower middle income"/>
    <n v="10765984"/>
    <n v="112485000000"/>
    <n v="15.89"/>
    <n v="15.91"/>
    <n v="1477.8030000000001"/>
    <n v="0.02"/>
    <n v="0.126"/>
    <n v="22.353999999999999"/>
    <n v="18.471"/>
    <n v="2076.3119999999999"/>
    <n v="98.804000000000002"/>
    <n v="61.258000000000003"/>
    <n v="44.588999999999999"/>
    <n v="54.926000000000002"/>
    <n v="0.19"/>
    <n v="1.196"/>
    <n v="15.7"/>
    <n v="98.804000000000002"/>
    <n v="8215.607"/>
    <n v="9.1300000000000008"/>
    <n v="46206091938"/>
  </r>
  <r>
    <x v="13"/>
    <x v="11"/>
    <s v="TUN"/>
    <x v="0"/>
    <s v="Lower middle income"/>
    <n v="10886041"/>
    <n v="110760000000"/>
    <n v="16.3"/>
    <n v="16.27"/>
    <n v="1494.575"/>
    <n v="-0.03"/>
    <n v="-0.184"/>
    <n v="21.251999999999999"/>
    <n v="18.975999999999999"/>
    <n v="1952.26"/>
    <n v="98.956999999999994"/>
    <n v="61.353000000000002"/>
    <n v="39.692999999999998"/>
    <n v="55.539000000000001"/>
    <n v="0.16"/>
    <n v="0.98199999999999998"/>
    <n v="16.14"/>
    <n v="99.018000000000001"/>
    <n v="7754.1710000000003"/>
    <n v="9.39"/>
    <n v="48123325825"/>
  </r>
  <r>
    <x v="13"/>
    <x v="12"/>
    <s v="TUN"/>
    <x v="0"/>
    <s v="Lower middle income"/>
    <n v="11009649"/>
    <n v="115431000000"/>
    <n v="17.84"/>
    <n v="17.8"/>
    <n v="1616.7639999999999"/>
    <n v="-0.04"/>
    <n v="-0.22500000000000001"/>
    <n v="20.481999999999999"/>
    <n v="20.623000000000001"/>
    <n v="1860.329"/>
    <n v="98.262"/>
    <n v="60.921999999999997"/>
    <n v="39.646999999999998"/>
    <n v="56.17"/>
    <n v="0.31"/>
    <n v="1.738"/>
    <n v="17.53"/>
    <n v="98.262"/>
    <n v="8405.116"/>
    <n v="10.19"/>
    <n v="47311401813"/>
  </r>
  <r>
    <x v="13"/>
    <x v="13"/>
    <s v="TUN"/>
    <x v="0"/>
    <s v="Lower middle income"/>
    <n v="11141365"/>
    <n v="118236000000"/>
    <n v="18.14"/>
    <n v="18.079999999999998"/>
    <n v="1622.7809999999999"/>
    <n v="-0.06"/>
    <n v="-0.33200000000000002"/>
    <n v="20.370999999999999"/>
    <n v="20.728999999999999"/>
    <n v="1828.453"/>
    <n v="97.132999999999996"/>
    <n v="60.222000000000001"/>
    <n v="36.378999999999998"/>
    <n v="56.841999999999999"/>
    <n v="0.43"/>
    <n v="2.37"/>
    <n v="17.71"/>
    <n v="97.63"/>
    <n v="8780.3150000000005"/>
    <n v="10.31"/>
    <n v="48685446414"/>
  </r>
  <r>
    <x v="13"/>
    <x v="14"/>
    <s v="TUN"/>
    <x v="0"/>
    <s v="Lower middle income"/>
    <n v="11274295"/>
    <n v="121889000000"/>
    <n v="18.97"/>
    <n v="18.88"/>
    <n v="1674.606"/>
    <n v="-0.09"/>
    <n v="-0.47699999999999998"/>
    <n v="18.29"/>
    <n v="21.212"/>
    <n v="1622.298"/>
    <n v="95.045000000000002"/>
    <n v="58.927999999999997"/>
    <n v="33.762"/>
    <n v="57.52"/>
    <n v="0.59"/>
    <n v="3.11"/>
    <n v="18.38"/>
    <n v="96.89"/>
    <n v="9543.2880000000005"/>
    <n v="10.71"/>
    <n v="50271812921"/>
  </r>
  <r>
    <x v="13"/>
    <x v="15"/>
    <s v="TUN"/>
    <x v="0"/>
    <s v="Lower middle income"/>
    <n v="11402270"/>
    <n v="123069000000"/>
    <n v="19.48"/>
    <n v="19.38"/>
    <n v="1699.6610000000001"/>
    <n v="-0.1"/>
    <n v="-0.51600000000000001"/>
    <n v="17.343"/>
    <n v="21.164999999999999"/>
    <n v="1521.0360000000001"/>
    <n v="92.350999999999999"/>
    <n v="57.258000000000003"/>
    <n v="30.552"/>
    <n v="58.173000000000002"/>
    <n v="0.57999999999999996"/>
    <n v="2.9769999999999999"/>
    <n v="18.899999999999999"/>
    <n v="97.022999999999996"/>
    <n v="9753.8739999999998"/>
    <n v="11.06"/>
    <n v="45779494042"/>
  </r>
  <r>
    <x v="13"/>
    <x v="16"/>
    <s v="TUN"/>
    <x v="0"/>
    <s v="Lower middle income"/>
    <n v="11528676"/>
    <n v="124444000000"/>
    <n v="19.63"/>
    <n v="19.510000000000002"/>
    <n v="1692.3019999999999"/>
    <n v="-0.12"/>
    <n v="-0.61499999999999999"/>
    <n v="15.074999999999999"/>
    <n v="22.306000000000001"/>
    <n v="1307.5999999999999"/>
    <n v="96.587000000000003"/>
    <n v="59.884"/>
    <n v="28.260999999999999"/>
    <n v="58.817999999999998"/>
    <n v="0.63"/>
    <n v="3.2090000000000001"/>
    <n v="19"/>
    <n v="96.790999999999997"/>
    <n v="9623.3960000000006"/>
    <n v="11.06"/>
    <n v="44360072680"/>
  </r>
  <r>
    <x v="13"/>
    <x v="17"/>
    <s v="TUN"/>
    <x v="0"/>
    <s v="Lower middle income"/>
    <n v="11650504"/>
    <n v="127229000000"/>
    <n v="20.58"/>
    <n v="20.55"/>
    <n v="1763.8720000000001"/>
    <n v="-0.03"/>
    <n v="-0.14599999999999999"/>
    <n v="14.074"/>
    <n v="23.187999999999999"/>
    <n v="1208.0160000000001"/>
    <n v="95.772999999999996"/>
    <n v="59.378999999999998"/>
    <n v="23.888000000000002"/>
    <n v="59.439"/>
    <n v="0.6"/>
    <n v="2.915"/>
    <n v="19.98"/>
    <n v="97.084999999999994"/>
    <n v="10090.969999999999"/>
    <n v="11.65"/>
    <n v="42163530591"/>
  </r>
  <r>
    <x v="13"/>
    <x v="18"/>
    <s v="TUN"/>
    <x v="0"/>
    <s v="Lower middle income"/>
    <n v="11765515"/>
    <n v="130569000000"/>
    <n v="20.92"/>
    <n v="20.82"/>
    <n v="1769.578"/>
    <n v="-0.1"/>
    <n v="-0.48"/>
    <n v="13.14"/>
    <n v="23.577000000000002"/>
    <n v="1116.8230000000001"/>
    <n v="95.793999999999997"/>
    <n v="59.392000000000003"/>
    <n v="23.109000000000002"/>
    <n v="60.026000000000003"/>
    <n v="0.55000000000000004"/>
    <n v="2.629"/>
    <n v="20.37"/>
    <n v="97.370999999999995"/>
    <n v="10194.450999999999"/>
    <n v="11.87"/>
    <n v="42686504460"/>
  </r>
  <r>
    <x v="13"/>
    <x v="19"/>
    <s v="TUN"/>
    <x v="0"/>
    <s v="Lower middle income"/>
    <n v="11875084"/>
    <n v="132642000000"/>
    <n v="22.02"/>
    <n v="21.86"/>
    <n v="1840.829"/>
    <n v="-0.16"/>
    <n v="-0.73199999999999998"/>
    <n v="12.268000000000001"/>
    <n v="24.718"/>
    <n v="1033.087"/>
    <n v="95.412999999999997"/>
    <n v="59.155999999999999"/>
    <n v="21.213000000000001"/>
    <n v="60.585000000000001"/>
    <n v="0.69"/>
    <n v="3.1339999999999999"/>
    <n v="21.33"/>
    <n v="96.866"/>
    <n v="10254.706"/>
    <n v="12.44"/>
    <n v="41905642419"/>
  </r>
  <r>
    <x v="13"/>
    <x v="20"/>
    <s v="TUN"/>
    <x v="0"/>
    <s v="Lower middle income"/>
    <n v="11974058"/>
    <n v="120946000000"/>
    <n v="21.38"/>
    <n v="20.78"/>
    <n v="1735.4179999999999"/>
    <n v="-0.6"/>
    <n v="-2.887"/>
    <n v="11.454000000000001"/>
    <n v="24.082000000000001"/>
    <n v="956.56799999999998"/>
    <n v="95.744"/>
    <n v="59.360999999999997"/>
    <n v="19.608000000000001"/>
    <n v="61.09"/>
    <n v="0.67"/>
    <n v="3.1339999999999999"/>
    <n v="20.71"/>
    <n v="96.866"/>
    <n v="9381.0910000000003"/>
    <n v="12.07"/>
    <n v="42491780918"/>
  </r>
  <r>
    <x v="13"/>
    <x v="21"/>
    <s v="TUN"/>
    <x v="0"/>
    <s v="Lower middle income"/>
    <n v="12048625"/>
    <n v="126273000000"/>
    <n v="21.9"/>
    <n v="22.93"/>
    <n v="1903.1220000000001"/>
    <n v="1.03"/>
    <n v="4.492"/>
    <n v="10.693"/>
    <n v="24.67"/>
    <n v="887.48699999999997"/>
    <n v="95.753"/>
    <n v="59.366999999999997"/>
    <n v="24.19"/>
    <n v="61.47"/>
    <n v="0.68"/>
    <n v="3.105"/>
    <n v="21.22"/>
    <n v="96.894999999999996"/>
    <n v="10189.536"/>
    <n v="12.36"/>
    <n v="47073234359"/>
  </r>
  <r>
    <x v="13"/>
    <x v="22"/>
    <s v="TUN"/>
    <x v="0"/>
    <s v="Lower middle income"/>
    <n v="12119338"/>
    <n v="129458000000"/>
    <n v="21.41"/>
    <n v="23.98"/>
    <n v="1978.6559999999999"/>
    <n v="2.57"/>
    <n v="10.717000000000001"/>
    <n v="9.984"/>
    <n v="24.140999999999998"/>
    <n v="823.80700000000002"/>
    <n v="95.843000000000004"/>
    <n v="59.423000000000002"/>
    <n v="20.434000000000001"/>
    <n v="61.831000000000003"/>
    <n v="0.65"/>
    <n v="3.036"/>
    <n v="20.76"/>
    <n v="96.963999999999999"/>
    <n v="10087.191000000001"/>
    <n v="12.11"/>
    <n v="44929920093"/>
  </r>
  <r>
    <x v="13"/>
    <x v="23"/>
    <s v="TUN"/>
    <x v="0"/>
    <s v="Lower middle income"/>
    <n v="12200434"/>
    <n v="135138000000"/>
    <n v="21.28"/>
    <n v="23.78"/>
    <n v="1949.1110000000001"/>
    <n v="2.5"/>
    <n v="10.513"/>
    <n v="9.3209999999999997"/>
    <n v="23.8"/>
    <n v="763.98900000000003"/>
    <n v="95.066000000000003"/>
    <n v="58.941000000000003"/>
    <n v="19.829000000000001"/>
    <n v="62.244999999999997"/>
    <n v="0.84"/>
    <n v="3.9470000000000001"/>
    <n v="20.440000000000001"/>
    <n v="96.052999999999997"/>
    <n v="9892.2070000000003"/>
    <n v="11.92"/>
    <n v="48205328303"/>
  </r>
  <r>
    <x v="14"/>
    <x v="0"/>
    <s v="TUR"/>
    <x v="2"/>
    <s v="Upper middle income"/>
    <n v="65425957"/>
    <n v="785055000000"/>
    <n v="124.38"/>
    <n v="127.73"/>
    <n v="1952.2829999999999"/>
    <n v="3.35"/>
    <n v="2.6230000000000002"/>
    <n v="6.8049999999999997"/>
    <n v="139.46899999999999"/>
    <n v="104.00700000000001"/>
    <n v="37.417999999999999"/>
    <n v="16.254999999999999"/>
    <n v="33.795999999999999"/>
    <n v="370.69900000000001"/>
    <n v="31.16"/>
    <n v="25.052"/>
    <n v="93.22"/>
    <n v="74.947999999999993"/>
    <n v="13198.735000000001"/>
    <n v="71.41"/>
    <n v="274748000000"/>
  </r>
  <r>
    <x v="14"/>
    <x v="1"/>
    <s v="TUR"/>
    <x v="2"/>
    <s v="Upper middle income"/>
    <n v="66245125"/>
    <n v="732285000000"/>
    <n v="122.24"/>
    <n v="126.39"/>
    <n v="1907.914"/>
    <n v="4.1500000000000004"/>
    <n v="3.2829999999999999"/>
    <n v="3.3220000000000001"/>
    <n v="153.459"/>
    <n v="50.155000000000001"/>
    <n v="40.665999999999997"/>
    <n v="19.667999999999999"/>
    <n v="30.712"/>
    <n v="344.84300000000002"/>
    <n v="24.34"/>
    <n v="19.911999999999999"/>
    <n v="97.9"/>
    <n v="80.087999999999994"/>
    <n v="11841.918"/>
    <n v="73.989999999999995"/>
    <n v="202195000000"/>
  </r>
  <r>
    <x v="14"/>
    <x v="2"/>
    <s v="TUR"/>
    <x v="2"/>
    <s v="Upper middle income"/>
    <n v="67048792"/>
    <n v="796073000000"/>
    <n v="128.46"/>
    <n v="131.61000000000001"/>
    <n v="1962.8989999999999"/>
    <n v="3.15"/>
    <n v="2.3929999999999998"/>
    <n v="4.0250000000000004"/>
    <n v="166.39400000000001"/>
    <n v="60.036000000000001"/>
    <n v="40.892000000000003"/>
    <n v="19.503"/>
    <n v="29.863"/>
    <n v="369.48200000000003"/>
    <n v="33.96"/>
    <n v="26.436"/>
    <n v="94.5"/>
    <n v="73.563999999999993"/>
    <n v="12814.346"/>
    <n v="68.91"/>
    <n v="240778000000"/>
  </r>
  <r>
    <x v="14"/>
    <x v="3"/>
    <s v="TUR"/>
    <x v="2"/>
    <s v="Upper middle income"/>
    <n v="67831735"/>
    <n v="848550000000"/>
    <n v="139.54"/>
    <n v="140.11000000000001"/>
    <n v="2065.5520000000001"/>
    <n v="0.56999999999999995"/>
    <n v="0.40699999999999997"/>
    <n v="5.9630000000000001"/>
    <n v="200.48099999999999"/>
    <n v="87.915000000000006"/>
    <n v="45.534999999999997"/>
    <n v="22.196000000000002"/>
    <n v="28.901"/>
    <n v="363.709"/>
    <n v="35.56"/>
    <n v="25.484000000000002"/>
    <n v="103.98"/>
    <n v="74.516000000000005"/>
    <n v="13406.965"/>
    <n v="73.23"/>
    <n v="315393000000"/>
  </r>
  <r>
    <x v="14"/>
    <x v="4"/>
    <s v="TUR"/>
    <x v="2"/>
    <s v="Upper middle income"/>
    <n v="68592621"/>
    <n v="931153000000"/>
    <n v="149.75"/>
    <n v="149.07"/>
    <n v="2173.2660000000001"/>
    <n v="-0.68"/>
    <n v="-0.45600000000000002"/>
    <n v="7.327"/>
    <n v="211.684"/>
    <n v="106.812"/>
    <n v="41.582999999999998"/>
    <n v="21.914999999999999"/>
    <n v="27.216000000000001"/>
    <n v="371.83300000000003"/>
    <n v="46.31"/>
    <n v="30.925000000000001"/>
    <n v="103.44"/>
    <n v="69.075000000000003"/>
    <n v="14197.467000000001"/>
    <n v="74.010000000000005"/>
    <n v="410157000000"/>
  </r>
  <r>
    <x v="14"/>
    <x v="5"/>
    <s v="TUR"/>
    <x v="2"/>
    <s v="Upper middle income"/>
    <n v="69329557"/>
    <n v="1017380000000"/>
    <n v="161.63"/>
    <n v="160.47"/>
    <n v="2314.5970000000002"/>
    <n v="-1.1599999999999999"/>
    <n v="-0.72299999999999998"/>
    <n v="9.5519999999999996"/>
    <n v="257.23200000000003"/>
    <n v="137.779"/>
    <n v="45.462000000000003"/>
    <n v="26.004000000000001"/>
    <n v="27.942"/>
    <n v="367.38200000000001"/>
    <n v="39.74"/>
    <n v="24.587"/>
    <n v="121.89"/>
    <n v="75.412999999999997"/>
    <n v="14367.83"/>
    <n v="87.86"/>
    <n v="508314000000"/>
  </r>
  <r>
    <x v="14"/>
    <x v="6"/>
    <s v="TUR"/>
    <x v="2"/>
    <s v="Upper middle income"/>
    <n v="70045351"/>
    <n v="1096830000000"/>
    <n v="176.25"/>
    <n v="174.59"/>
    <n v="2492.5279999999998"/>
    <n v="-1.66"/>
    <n v="-0.95099999999999996"/>
    <n v="9.6370000000000005"/>
    <n v="291.97000000000003"/>
    <n v="137.58799999999999"/>
    <n v="45.781999999999996"/>
    <n v="26.603999999999999"/>
    <n v="26.974"/>
    <n v="381.827"/>
    <n v="44.52"/>
    <n v="25.26"/>
    <n v="131.72999999999999"/>
    <n v="74.739999999999995"/>
    <n v="15776.227999999999"/>
    <n v="94.73"/>
    <n v="559668000000"/>
  </r>
  <r>
    <x v="14"/>
    <x v="7"/>
    <s v="TUR"/>
    <x v="2"/>
    <s v="Upper middle income"/>
    <n v="70750593"/>
    <n v="1158410000000"/>
    <n v="191.52"/>
    <n v="189.96"/>
    <n v="2684.9250000000002"/>
    <n v="-1.56"/>
    <n v="-0.82099999999999995"/>
    <n v="9.51"/>
    <n v="338.90699999999998"/>
    <n v="134.41"/>
    <n v="49.619"/>
    <n v="29.024000000000001"/>
    <n v="26.234999999999999"/>
    <n v="388.9"/>
    <n v="36.46"/>
    <n v="19.036999999999999"/>
    <n v="155.06"/>
    <n v="80.962999999999994"/>
    <n v="16589.539000000001"/>
    <n v="110.66"/>
    <n v="685228000000"/>
  </r>
  <r>
    <x v="14"/>
    <x v="8"/>
    <s v="TUR"/>
    <x v="2"/>
    <s v="Upper middle income"/>
    <n v="71562343"/>
    <n v="1179870000000"/>
    <n v="198.37"/>
    <n v="198.04"/>
    <n v="2767.377"/>
    <n v="-0.33"/>
    <n v="-0.16700000000000001"/>
    <n v="10.840999999999999"/>
    <n v="352.98200000000003"/>
    <n v="151.48500000000001"/>
    <n v="49.744999999999997"/>
    <n v="30.146999999999998"/>
    <n v="26.68"/>
    <n v="382.55900000000003"/>
    <n v="34.42"/>
    <n v="17.350999999999999"/>
    <n v="163.95"/>
    <n v="82.649000000000001"/>
    <n v="16442.740000000002"/>
    <n v="117.74"/>
    <n v="775416000000"/>
  </r>
  <r>
    <x v="14"/>
    <x v="9"/>
    <s v="TUR"/>
    <x v="2"/>
    <s v="Upper middle income"/>
    <n v="72464846"/>
    <n v="1122760000000"/>
    <n v="194.81"/>
    <n v="194.08"/>
    <n v="2678.2640000000001"/>
    <n v="-0.73"/>
    <n v="-0.376"/>
    <n v="7.2910000000000004"/>
    <n v="337.22199999999998"/>
    <n v="100.61499999999999"/>
    <n v="49.33"/>
    <n v="28.419"/>
    <n v="29.562999999999999"/>
    <n v="389.52699999999999"/>
    <n v="38.15"/>
    <n v="19.582999999999998"/>
    <n v="156.66"/>
    <n v="80.417000000000002"/>
    <n v="16459.546999999999"/>
    <n v="112.41"/>
    <n v="653894000000"/>
  </r>
  <r>
    <x v="14"/>
    <x v="10"/>
    <s v="TUR"/>
    <x v="2"/>
    <s v="Upper middle income"/>
    <n v="73346766"/>
    <n v="1240500000000"/>
    <n v="211.18"/>
    <n v="210.41"/>
    <n v="2868.7020000000002"/>
    <n v="-0.77"/>
    <n v="-0.36599999999999999"/>
    <n v="7.266"/>
    <n v="358.21"/>
    <n v="99.058999999999997"/>
    <n v="46.472000000000001"/>
    <n v="28.792999999999999"/>
    <n v="30.927"/>
    <n v="374.55399999999997"/>
    <n v="55.72"/>
    <n v="26.385000000000002"/>
    <n v="155.46"/>
    <n v="73.614999999999995"/>
    <n v="17085.506000000001"/>
    <n v="110.88"/>
    <n v="782546000000"/>
  </r>
  <r>
    <x v="14"/>
    <x v="11"/>
    <s v="TUR"/>
    <x v="2"/>
    <s v="Upper middle income"/>
    <n v="74215203"/>
    <n v="1364780000000"/>
    <n v="229.39"/>
    <n v="230.3"/>
    <n v="3103.1379999999999"/>
    <n v="0.91"/>
    <n v="0.39500000000000002"/>
    <n v="8.0890000000000004"/>
    <n v="418.399"/>
    <n v="108.992"/>
    <n v="45.359000000000002"/>
    <n v="31.512"/>
    <n v="29.263000000000002"/>
    <n v="364.07900000000001"/>
    <n v="58.09"/>
    <n v="25.324000000000002"/>
    <n v="171.3"/>
    <n v="74.676000000000002"/>
    <n v="18015.532999999999"/>
    <n v="124.1"/>
    <n v="844193000000"/>
  </r>
  <r>
    <x v="14"/>
    <x v="12"/>
    <s v="TUR"/>
    <x v="2"/>
    <s v="Upper middle income"/>
    <n v="75197196"/>
    <n v="1430130000000"/>
    <n v="239.49"/>
    <n v="242.36"/>
    <n v="3222.9920000000002"/>
    <n v="2.87"/>
    <n v="1.1839999999999999"/>
    <n v="6.734"/>
    <n v="433.19200000000001"/>
    <n v="89.555999999999997"/>
    <n v="43.634"/>
    <n v="30.702000000000002"/>
    <n v="28.715"/>
    <n v="383.572"/>
    <n v="65.209999999999994"/>
    <n v="27.228999999999999"/>
    <n v="174.28"/>
    <n v="72.771000000000001"/>
    <n v="18897.526999999998"/>
    <n v="126.4"/>
    <n v="885328000000"/>
  </r>
  <r>
    <x v="14"/>
    <x v="13"/>
    <s v="TUR"/>
    <x v="2"/>
    <s v="Upper middle income"/>
    <n v="76403032"/>
    <n v="1551490000000"/>
    <n v="240.15"/>
    <n v="246.35"/>
    <n v="3224.3490000000002"/>
    <n v="6.2"/>
    <n v="2.5169999999999999"/>
    <n v="5.7249999999999996"/>
    <n v="439.66500000000002"/>
    <n v="74.929000000000002"/>
    <n v="43.773000000000003"/>
    <n v="31.369"/>
    <n v="29.588000000000001"/>
    <n v="412.15100000000001"/>
    <n v="69.22"/>
    <n v="28.824000000000002"/>
    <n v="170.93"/>
    <n v="71.176000000000002"/>
    <n v="18483.398000000001"/>
    <n v="122.47"/>
    <n v="962168000000"/>
  </r>
  <r>
    <x v="14"/>
    <x v="14"/>
    <s v="TUR"/>
    <x v="2"/>
    <s v="Upper middle income"/>
    <n v="78036154"/>
    <n v="1628130000000"/>
    <n v="251.95"/>
    <n v="257.20999999999998"/>
    <n v="3296.0360000000001"/>
    <n v="5.26"/>
    <n v="2.0449999999999999"/>
    <n v="5.1040000000000001"/>
    <n v="466.46499999999997"/>
    <n v="65.400000000000006"/>
    <n v="47.859000000000002"/>
    <n v="32.226999999999997"/>
    <n v="30.501000000000001"/>
    <n v="423.30200000000002"/>
    <n v="52.62"/>
    <n v="20.885000000000002"/>
    <n v="199.33"/>
    <n v="79.114999999999995"/>
    <n v="18636.938999999998"/>
    <n v="142.91999999999999"/>
    <n v="942343000000"/>
  </r>
  <r>
    <x v="14"/>
    <x v="15"/>
    <s v="TUR"/>
    <x v="2"/>
    <s v="Upper middle income"/>
    <n v="80014222"/>
    <n v="1727190000000"/>
    <n v="261.77"/>
    <n v="265.70999999999998"/>
    <n v="3320.7840000000001"/>
    <n v="3.94"/>
    <n v="1.4830000000000001"/>
    <n v="4.0549999999999997"/>
    <n v="459.59"/>
    <n v="50.671999999999997"/>
    <n v="37.904000000000003"/>
    <n v="29.123999999999999"/>
    <n v="31.036999999999999"/>
    <n v="498.66399999999999"/>
    <n v="83.65"/>
    <n v="31.956"/>
    <n v="178.12"/>
    <n v="68.043999999999997"/>
    <n v="19859.234"/>
    <n v="132.1"/>
    <n v="865460000000"/>
  </r>
  <r>
    <x v="14"/>
    <x v="16"/>
    <s v="TUR"/>
    <x v="2"/>
    <s v="Upper middle income"/>
    <n v="81652087"/>
    <n v="1784590000000"/>
    <n v="274.39999999999998"/>
    <n v="279.27999999999997"/>
    <n v="3420.366"/>
    <n v="4.88"/>
    <n v="1.7470000000000001"/>
    <n v="3.9060000000000001"/>
    <n v="445.04599999999999"/>
    <n v="47.831000000000003"/>
    <n v="32.518000000000001"/>
    <n v="26.841999999999999"/>
    <n v="31.756"/>
    <n v="533.83100000000002"/>
    <n v="90.24"/>
    <n v="32.886000000000003"/>
    <n v="184.16"/>
    <n v="67.114000000000004"/>
    <n v="20443.309000000001"/>
    <n v="143.44999999999999"/>
    <n v="870818000000"/>
  </r>
  <r>
    <x v="14"/>
    <x v="17"/>
    <s v="TUR"/>
    <x v="2"/>
    <s v="Upper middle income"/>
    <n v="83083667"/>
    <n v="1918470000000"/>
    <n v="297.29000000000002"/>
    <n v="296.70999999999998"/>
    <n v="3571.2190000000001"/>
    <n v="-0.57999999999999996"/>
    <n v="-0.19500000000000001"/>
    <n v="3.3769999999999998"/>
    <n v="515.68100000000004"/>
    <n v="40.646000000000001"/>
    <n v="37.165999999999997"/>
    <n v="29.004000000000001"/>
    <n v="32.28"/>
    <n v="578.77800000000002"/>
    <n v="87.24"/>
    <n v="29.344999999999999"/>
    <n v="210.05"/>
    <n v="70.655000000000001"/>
    <n v="21512.550999999999"/>
    <n v="158.83000000000001"/>
    <n v="863875000000"/>
  </r>
  <r>
    <x v="14"/>
    <x v="18"/>
    <s v="TUR"/>
    <x v="2"/>
    <s v="Upper middle income"/>
    <n v="84415966"/>
    <n v="1975640000000"/>
    <n v="300.14999999999998"/>
    <n v="299.52"/>
    <n v="3548.1439999999998"/>
    <n v="-0.63"/>
    <n v="-0.21"/>
    <n v="2.919"/>
    <n v="472.32499999999999"/>
    <n v="34.579000000000001"/>
    <n v="30.015000000000001"/>
    <n v="26.562000000000001"/>
    <n v="32.811999999999998"/>
    <n v="579.38199999999995"/>
    <n v="96.82"/>
    <n v="32.256999999999998"/>
    <n v="203.33"/>
    <n v="67.742999999999995"/>
    <n v="21179.322"/>
    <n v="162.63"/>
    <n v="788357000000"/>
  </r>
  <r>
    <x v="14"/>
    <x v="19"/>
    <s v="TUR"/>
    <x v="2"/>
    <s v="Upper middle income"/>
    <n v="85357670"/>
    <n v="1991120000000"/>
    <n v="300.18"/>
    <n v="299.60000000000002"/>
    <n v="3509.9369999999999"/>
    <n v="-0.57999999999999996"/>
    <n v="-0.19400000000000001"/>
    <n v="2.524"/>
    <n v="433.57499999999999"/>
    <n v="29.57"/>
    <n v="18.282"/>
    <n v="23.629000000000001"/>
    <n v="33.353000000000002"/>
    <n v="576.53099999999995"/>
    <n v="131.47"/>
    <n v="43.796999999999997"/>
    <n v="168.71"/>
    <n v="56.203000000000003"/>
    <n v="21663.298999999999"/>
    <n v="146.62"/>
    <n v="775853000000"/>
  </r>
  <r>
    <x v="14"/>
    <x v="20"/>
    <s v="TUR"/>
    <x v="2"/>
    <s v="Upper middle income"/>
    <n v="86091691"/>
    <n v="2029750000000"/>
    <n v="302"/>
    <n v="301.41000000000003"/>
    <n v="3501.0349999999999"/>
    <n v="-0.59"/>
    <n v="-0.19600000000000001"/>
    <n v="2.1819999999999999"/>
    <n v="462.15199999999999"/>
    <n v="25.344999999999999"/>
    <n v="22.54"/>
    <n v="25.538"/>
    <n v="33.902000000000001"/>
    <n v="547.577"/>
    <n v="127.33"/>
    <n v="42.161999999999999"/>
    <n v="174.67"/>
    <n v="57.838000000000001"/>
    <n v="21161.5"/>
    <n v="145.69999999999999"/>
    <n v="733628000000"/>
  </r>
  <r>
    <x v="14"/>
    <x v="21"/>
    <s v="TUR"/>
    <x v="2"/>
    <s v="Upper middle income"/>
    <n v="86686254"/>
    <n v="2260200000000"/>
    <n v="327.88"/>
    <n v="326.02999999999997"/>
    <n v="3761.0349999999999"/>
    <n v="-1.85"/>
    <n v="-0.56699999999999995"/>
    <n v="1.8859999999999999"/>
    <n v="572.87599999999998"/>
    <n v="21.757000000000001"/>
    <n v="32.738"/>
    <n v="29.506"/>
    <n v="34.460999999999999"/>
    <n v="581.60500000000002"/>
    <n v="116.07"/>
    <n v="35.4"/>
    <n v="211.81"/>
    <n v="64.599999999999994"/>
    <n v="22505.563999999998"/>
    <n v="164.14"/>
    <n v="839939000000"/>
  </r>
  <r>
    <x v="14"/>
    <x v="22"/>
    <s v="TUR"/>
    <x v="2"/>
    <s v="Upper middle income"/>
    <n v="87058469"/>
    <n v="2386000000000"/>
    <n v="320.56"/>
    <n v="323.29000000000002"/>
    <n v="3713.4810000000002"/>
    <n v="2.73"/>
    <n v="0.84399999999999997"/>
    <n v="1.631"/>
    <n v="509.39499999999998"/>
    <n v="18.734999999999999"/>
    <n v="22.417000000000002"/>
    <n v="26.021000000000001"/>
    <n v="35.03"/>
    <n v="606.45299999999997"/>
    <n v="134.35"/>
    <n v="41.911000000000001"/>
    <n v="186.21"/>
    <n v="58.088999999999999"/>
    <n v="22617.557000000001"/>
    <n v="156.41"/>
    <n v="926097000000"/>
  </r>
  <r>
    <x v="14"/>
    <x v="23"/>
    <s v="TUR"/>
    <x v="2"/>
    <s v="Upper middle income"/>
    <n v="87270502"/>
    <n v="3056260000000"/>
    <n v="319.79000000000002"/>
    <n v="323.81"/>
    <n v="3710.4169999999999"/>
    <n v="4.0199999999999996"/>
    <n v="1.2410000000000001"/>
    <n v="1.41"/>
    <n v="480.76900000000001"/>
    <n v="16.157"/>
    <n v="20.789000000000001"/>
    <n v="24.669"/>
    <n v="35.606999999999999"/>
    <n v="645.44500000000005"/>
    <n v="134.34"/>
    <n v="42.009"/>
    <n v="185.45"/>
    <n v="57.991"/>
    <n v="22476.043000000001"/>
    <n v="157.88999999999999"/>
    <n v="1141240000000"/>
  </r>
  <r>
    <x v="15"/>
    <x v="0"/>
    <s v="ARE"/>
    <x v="0"/>
    <s v="High income"/>
    <n v="3493583"/>
    <n v="160531000000"/>
    <n v="39.94"/>
    <n v="39.94"/>
    <n v="11432.388999999999"/>
    <n v="0"/>
    <n v="0"/>
    <n v="374.20499999999998"/>
    <n v="306.44299999999998"/>
    <n v="107112.102"/>
    <n v="100"/>
    <n v="57.195"/>
    <n v="1413.317"/>
    <n v="229.339"/>
    <n v="0"/>
    <n v="0"/>
    <n v="39.94"/>
    <n v="100"/>
    <n v="153361.734"/>
    <n v="27.03"/>
    <n v="104337000000"/>
  </r>
  <r>
    <x v="15"/>
    <x v="1"/>
    <s v="ARE"/>
    <x v="0"/>
    <s v="High income"/>
    <n v="3723596"/>
    <n v="177272000000"/>
    <n v="43.17"/>
    <n v="43.17"/>
    <n v="11593.630999999999"/>
    <n v="0"/>
    <n v="0"/>
    <n v="383.76"/>
    <n v="314.73"/>
    <n v="103061.664"/>
    <n v="100"/>
    <n v="58.115000000000002"/>
    <n v="1377.15"/>
    <n v="226.62100000000001"/>
    <n v="0"/>
    <n v="0"/>
    <n v="43.17"/>
    <n v="100"/>
    <n v="145441.67199999999"/>
    <n v="29.21"/>
    <n v="103312000000"/>
  </r>
  <r>
    <x v="15"/>
    <x v="2"/>
    <s v="ARE"/>
    <x v="0"/>
    <s v="High income"/>
    <n v="3956829"/>
    <n v="195395000000"/>
    <n v="46.85"/>
    <n v="46.85"/>
    <n v="11840.289000000001"/>
    <n v="0"/>
    <n v="0"/>
    <n v="423.053"/>
    <n v="355.29"/>
    <n v="106917.06200000001"/>
    <n v="100"/>
    <n v="60.045999999999999"/>
    <n v="1267.884"/>
    <n v="235.30699999999999"/>
    <n v="0"/>
    <n v="0"/>
    <n v="46.85"/>
    <n v="100"/>
    <n v="149537.20300000001"/>
    <n v="31.71"/>
    <n v="109816000000"/>
  </r>
  <r>
    <x v="15"/>
    <x v="3"/>
    <s v="ARE"/>
    <x v="0"/>
    <s v="High income"/>
    <n v="4192465"/>
    <n v="224547000000"/>
    <n v="49.45"/>
    <n v="49.45"/>
    <n v="11794.971"/>
    <n v="0"/>
    <n v="0"/>
    <n v="436.70299999999997"/>
    <n v="369.33"/>
    <n v="104163.664"/>
    <n v="100"/>
    <n v="58.517000000000003"/>
    <n v="1467.586"/>
    <n v="260.53500000000003"/>
    <n v="0"/>
    <n v="0"/>
    <n v="49.45"/>
    <n v="100"/>
    <n v="150545.17199999999"/>
    <n v="33.46"/>
    <n v="124346000000"/>
  </r>
  <r>
    <x v="15"/>
    <x v="4"/>
    <s v="ARE"/>
    <x v="0"/>
    <s v="High income"/>
    <n v="4428964"/>
    <n v="252048000000"/>
    <n v="52.41"/>
    <n v="52.41"/>
    <n v="11833.467000000001"/>
    <n v="0"/>
    <n v="0"/>
    <n v="451.327"/>
    <n v="392.04700000000003"/>
    <n v="101903.625"/>
    <n v="100"/>
    <n v="58.075000000000003"/>
    <n v="1526.739"/>
    <n v="281.55599999999998"/>
    <n v="0"/>
    <n v="0"/>
    <n v="52.41"/>
    <n v="100"/>
    <n v="152420.609"/>
    <n v="35.47"/>
    <n v="147824000000"/>
  </r>
  <r>
    <x v="15"/>
    <x v="5"/>
    <s v="ARE"/>
    <x v="0"/>
    <s v="High income"/>
    <n v="4664797"/>
    <n v="262413000000"/>
    <n v="60.7"/>
    <n v="60.7"/>
    <n v="13012.356"/>
    <n v="0"/>
    <n v="0"/>
    <n v="465.952"/>
    <n v="409.98700000000002"/>
    <n v="99886.976999999999"/>
    <n v="100"/>
    <n v="58.186999999999998"/>
    <n v="1588.1110000000001"/>
    <n v="292.91899999999998"/>
    <n v="0"/>
    <n v="0"/>
    <n v="60.7"/>
    <n v="100"/>
    <n v="151045.81200000001"/>
    <n v="41.08"/>
    <n v="180617000000"/>
  </r>
  <r>
    <x v="15"/>
    <x v="6"/>
    <s v="ARE"/>
    <x v="0"/>
    <s v="High income"/>
    <n v="5009106"/>
    <n v="307379000000"/>
    <n v="62.44"/>
    <n v="62.44"/>
    <n v="12465.298000000001"/>
    <n v="0"/>
    <n v="0"/>
    <n v="475.702"/>
    <n v="422.76"/>
    <n v="94967.539000000004"/>
    <n v="100"/>
    <n v="57.03"/>
    <n v="1693.98"/>
    <n v="315.25799999999998"/>
    <n v="0"/>
    <n v="0"/>
    <n v="62.44"/>
    <n v="100"/>
    <n v="147989.07800000001"/>
    <n v="42.26"/>
    <n v="222117000000"/>
  </r>
  <r>
    <x v="15"/>
    <x v="7"/>
    <s v="ARE"/>
    <x v="0"/>
    <s v="High income"/>
    <n v="5624640"/>
    <n v="367816000000"/>
    <n v="78.760000000000005"/>
    <n v="78.760000000000005"/>
    <n v="14002.674999999999"/>
    <n v="0"/>
    <n v="0"/>
    <n v="490.32799999999997"/>
    <n v="479.38200000000001"/>
    <n v="87174.914000000004"/>
    <n v="100"/>
    <n v="58.578000000000003"/>
    <n v="1670.5730000000001"/>
    <n v="337.40199999999999"/>
    <n v="0"/>
    <n v="0"/>
    <n v="78.760000000000005"/>
    <n v="100"/>
    <n v="145495.71900000001"/>
    <n v="53.3"/>
    <n v="257916000000"/>
  </r>
  <r>
    <x v="15"/>
    <x v="8"/>
    <s v="ARE"/>
    <x v="0"/>
    <s v="High income"/>
    <n v="6302669"/>
    <n v="464692000000"/>
    <n v="80.459999999999994"/>
    <n v="80.459999999999994"/>
    <n v="12766.021000000001"/>
    <n v="0"/>
    <n v="0"/>
    <n v="489.84"/>
    <n v="579.721"/>
    <n v="77719.452999999994"/>
    <n v="100"/>
    <n v="61.777999999999999"/>
    <n v="1689.221"/>
    <n v="354.68799999999999"/>
    <n v="0"/>
    <n v="0"/>
    <n v="80.459999999999994"/>
    <n v="100"/>
    <n v="148889.391"/>
    <n v="54.45"/>
    <n v="315475000000"/>
  </r>
  <r>
    <x v="15"/>
    <x v="9"/>
    <s v="ARE"/>
    <x v="0"/>
    <s v="High income"/>
    <n v="6707063"/>
    <n v="480552000000"/>
    <n v="85.7"/>
    <n v="85.7"/>
    <n v="12777.574000000001"/>
    <n v="0"/>
    <n v="0"/>
    <n v="476.19"/>
    <n v="575.88099999999997"/>
    <n v="70998.289000000004"/>
    <n v="99.988"/>
    <n v="62.219000000000001"/>
    <n v="1498.1179999999999"/>
    <n v="346.49200000000002"/>
    <n v="0.01"/>
    <n v="1.2E-2"/>
    <n v="85.69"/>
    <n v="99.988"/>
    <n v="138000.09400000001"/>
    <n v="57.99"/>
    <n v="253547000000"/>
  </r>
  <r>
    <x v="15"/>
    <x v="10"/>
    <s v="ARE"/>
    <x v="0"/>
    <s v="High income"/>
    <n v="6938372"/>
    <n v="490049000000"/>
    <n v="93.95"/>
    <n v="93.95"/>
    <n v="13540.64"/>
    <n v="0"/>
    <n v="0"/>
    <n v="499.99900000000002"/>
    <n v="592.71600000000001"/>
    <n v="72062.937999999995"/>
    <n v="99.978999999999999"/>
    <n v="60.948"/>
    <n v="1561.2550000000001"/>
    <n v="372.07100000000003"/>
    <n v="0.02"/>
    <n v="2.1000000000000001E-2"/>
    <n v="93.93"/>
    <n v="99.978999999999999"/>
    <n v="140161.359"/>
    <n v="63.57"/>
    <n v="307736000000"/>
  </r>
  <r>
    <x v="15"/>
    <x v="11"/>
    <s v="ARE"/>
    <x v="0"/>
    <s v="High income"/>
    <n v="7199436"/>
    <n v="551070000000"/>
    <n v="99.13"/>
    <n v="99.11"/>
    <n v="13766.356"/>
    <n v="-0.02"/>
    <n v="-0.02"/>
    <n v="510.00299999999999"/>
    <n v="616.36099999999999"/>
    <n v="70839.297000000006"/>
    <n v="99.98"/>
    <n v="60.372999999999998"/>
    <n v="1737.4960000000001"/>
    <n v="399.339"/>
    <n v="0.02"/>
    <n v="0.02"/>
    <n v="99.11"/>
    <n v="99.98"/>
    <n v="141807.125"/>
    <n v="67.069999999999993"/>
    <n v="368881000000"/>
  </r>
  <r>
    <x v="15"/>
    <x v="12"/>
    <s v="ARE"/>
    <x v="0"/>
    <s v="High income"/>
    <n v="7497122"/>
    <n v="577395000000"/>
    <n v="106.21"/>
    <n v="106.18"/>
    <n v="14162.769"/>
    <n v="-0.03"/>
    <n v="-2.8000000000000001E-2"/>
    <n v="529.42499999999995"/>
    <n v="639.30700000000002"/>
    <n v="70617.093999999997"/>
    <n v="99.980999999999995"/>
    <n v="59.521000000000001"/>
    <n v="1801.5309999999999"/>
    <n v="418.649"/>
    <n v="0.02"/>
    <n v="1.9E-2"/>
    <n v="106.19"/>
    <n v="99.980999999999995"/>
    <n v="143268.29699999999"/>
    <n v="71.86"/>
    <n v="392794000000"/>
  </r>
  <r>
    <x v="15"/>
    <x v="13"/>
    <s v="ARE"/>
    <x v="0"/>
    <s v="High income"/>
    <n v="7831851"/>
    <n v="606588000000"/>
    <n v="109.99"/>
    <n v="109.97"/>
    <n v="14041.380999999999"/>
    <n v="-0.02"/>
    <n v="-1.7999999999999999E-2"/>
    <n v="532.35"/>
    <n v="646.11099999999999"/>
    <n v="67972.445000000007"/>
    <n v="99.918000000000006"/>
    <n v="57.085000000000001"/>
    <n v="1879.6890000000001"/>
    <n v="464.93099999999998"/>
    <n v="0.09"/>
    <n v="8.2000000000000003E-2"/>
    <n v="109.9"/>
    <n v="99.918000000000006"/>
    <n v="144520.03099999999"/>
    <n v="74.37"/>
    <n v="409633000000"/>
  </r>
  <r>
    <x v="15"/>
    <x v="14"/>
    <s v="ARE"/>
    <x v="0"/>
    <s v="High income"/>
    <n v="8236880"/>
    <n v="631858000000"/>
    <n v="116.54"/>
    <n v="116.51"/>
    <n v="14144.919"/>
    <n v="-0.03"/>
    <n v="-2.5999999999999999E-2"/>
    <n v="528.88499999999999"/>
    <n v="638.66499999999996"/>
    <n v="64209.355000000003"/>
    <n v="99.733999999999995"/>
    <n v="56.262999999999998"/>
    <n v="1895.009"/>
    <n v="472.738"/>
    <n v="0.31"/>
    <n v="0.26600000000000001"/>
    <n v="116.23"/>
    <n v="99.733999999999995"/>
    <n v="137818.31200000001"/>
    <n v="78.67"/>
    <n v="424936000000"/>
  </r>
  <r>
    <x v="15"/>
    <x v="15"/>
    <s v="ARE"/>
    <x v="0"/>
    <s v="High income"/>
    <n v="8674633"/>
    <n v="674743000000"/>
    <n v="127.38"/>
    <n v="127.37"/>
    <n v="14683.041999999999"/>
    <n v="-0.01"/>
    <n v="-8.0000000000000002E-3"/>
    <n v="585.98699999999997"/>
    <n v="712.61099999999999"/>
    <n v="67551.835999999996"/>
    <n v="99.763999999999996"/>
    <n v="58.265999999999998"/>
    <n v="2036.3230000000001"/>
    <n v="489.71699999999998"/>
    <n v="0.3"/>
    <n v="0.23599999999999999"/>
    <n v="127.08"/>
    <n v="99.763999999999996"/>
    <n v="140994.875"/>
    <n v="86.01"/>
    <n v="381973000000"/>
  </r>
  <r>
    <x v="15"/>
    <x v="16"/>
    <s v="ARE"/>
    <x v="0"/>
    <s v="High income"/>
    <n v="9030873"/>
    <n v="712265000000"/>
    <n v="129.61000000000001"/>
    <n v="130.24"/>
    <n v="14421.641"/>
    <n v="0.63"/>
    <n v="0.48399999999999999"/>
    <n v="595.20799999999997"/>
    <n v="715.36500000000001"/>
    <n v="65908.156000000003"/>
    <n v="99.753"/>
    <n v="56.350999999999999"/>
    <n v="2112.09"/>
    <n v="531.90499999999997"/>
    <n v="0.32"/>
    <n v="0.247"/>
    <n v="129.29"/>
    <n v="99.753"/>
    <n v="140575.79699999999"/>
    <n v="87.52"/>
    <n v="381717000000"/>
  </r>
  <r>
    <x v="15"/>
    <x v="17"/>
    <s v="ARE"/>
    <x v="0"/>
    <s v="High income"/>
    <n v="9234330"/>
    <n v="717500000000"/>
    <n v="134.57"/>
    <n v="134.47"/>
    <n v="14561.966"/>
    <n v="-0.1"/>
    <n v="-7.3999999999999996E-2"/>
    <n v="527.33500000000004"/>
    <n v="656.56799999999998"/>
    <n v="57105.945"/>
    <n v="99.442999999999998"/>
    <n v="54.183"/>
    <n v="2034.374"/>
    <n v="528.577"/>
    <n v="0.75"/>
    <n v="0.55700000000000005"/>
    <n v="133.82"/>
    <n v="99.442999999999998"/>
    <n v="131237.28099999999"/>
    <n v="90.6"/>
    <n v="403365000000"/>
  </r>
  <r>
    <x v="15"/>
    <x v="18"/>
    <s v="ARE"/>
    <x v="0"/>
    <s v="High income"/>
    <n v="9346870"/>
    <n v="726928000000"/>
    <n v="136.01"/>
    <n v="135.97999999999999"/>
    <n v="14548.186"/>
    <n v="-0.03"/>
    <n v="-2.1999999999999999E-2"/>
    <n v="464.334"/>
    <n v="581.16600000000005"/>
    <n v="49678.02"/>
    <n v="99.117999999999995"/>
    <n v="51.316000000000003"/>
    <n v="2046.3979999999999"/>
    <n v="526.05700000000002"/>
    <n v="1.2"/>
    <n v="0.88200000000000001"/>
    <n v="134.81"/>
    <n v="99.117999999999995"/>
    <n v="121187.641"/>
    <n v="91.29"/>
    <n v="440560000000"/>
  </r>
  <r>
    <x v="15"/>
    <x v="19"/>
    <s v="ARE"/>
    <x v="0"/>
    <s v="High income"/>
    <n v="9377855"/>
    <n v="734983000000"/>
    <n v="138.44999999999999"/>
    <n v="138.44"/>
    <n v="14762.438"/>
    <n v="-0.01"/>
    <n v="-7.0000000000000001E-3"/>
    <n v="537.19100000000003"/>
    <n v="670.18"/>
    <n v="57282.961000000003"/>
    <n v="97.355999999999995"/>
    <n v="55.097000000000001"/>
    <n v="2092.2190000000001"/>
    <n v="516.47199999999998"/>
    <n v="3.66"/>
    <n v="2.6440000000000001"/>
    <n v="134.79"/>
    <n v="97.355999999999995"/>
    <n v="129769.29700000001"/>
    <n v="91.39"/>
    <n v="433926000000"/>
  </r>
  <r>
    <x v="15"/>
    <x v="20"/>
    <s v="ARE"/>
    <x v="0"/>
    <s v="High income"/>
    <n v="9448529"/>
    <n v="698549000000"/>
    <n v="137.31"/>
    <n v="137.28"/>
    <n v="14529.245999999999"/>
    <n v="-0.03"/>
    <n v="-2.1999999999999999E-2"/>
    <n v="536.87900000000002"/>
    <n v="676.83299999999997"/>
    <n v="56821.406000000003"/>
    <n v="94.509"/>
    <n v="57.183999999999997"/>
    <n v="1941.367"/>
    <n v="465.21"/>
    <n v="5.18"/>
    <n v="3.7719999999999998"/>
    <n v="130.5"/>
    <n v="95.04"/>
    <n v="125363.31200000001"/>
    <n v="88.66"/>
    <n v="357162000000"/>
  </r>
  <r>
    <x v="15"/>
    <x v="21"/>
    <s v="ARE"/>
    <x v="0"/>
    <s v="High income"/>
    <n v="9789055"/>
    <n v="725905000000"/>
    <n v="149.05000000000001"/>
    <n v="149.26"/>
    <n v="15247.641"/>
    <n v="0.21"/>
    <n v="0.14099999999999999"/>
    <n v="531.226"/>
    <n v="653.24199999999996"/>
    <n v="54267.343999999997"/>
    <n v="86.709000000000003"/>
    <n v="52.716999999999999"/>
    <n v="1930.451"/>
    <n v="514.36199999999997"/>
    <n v="6.25"/>
    <n v="4.1929999999999996"/>
    <n v="132.25"/>
    <n v="88.728999999999999"/>
    <n v="126734.023"/>
    <n v="90.22"/>
    <n v="422441000000"/>
  </r>
  <r>
    <x v="15"/>
    <x v="22"/>
    <s v="ARE"/>
    <x v="0"/>
    <s v="High income"/>
    <n v="10242085"/>
    <n v="779702000000"/>
    <n v="155.41999999999999"/>
    <n v="155.31"/>
    <n v="15163.904"/>
    <n v="-0.11"/>
    <n v="-7.0999999999999994E-2"/>
    <n v="541.851"/>
    <n v="664.22699999999998"/>
    <n v="52904.324000000001"/>
    <n v="82.081000000000003"/>
    <n v="49.17"/>
    <n v="2157.3180000000002"/>
    <n v="590.30200000000002"/>
    <n v="7.75"/>
    <n v="4.9859999999999998"/>
    <n v="127.57"/>
    <n v="82.081000000000003"/>
    <n v="132096.891"/>
    <n v="86.8"/>
    <n v="511403000000"/>
  </r>
  <r>
    <x v="15"/>
    <x v="23"/>
    <s v="ARE"/>
    <x v="0"/>
    <s v="High income"/>
    <n v="10642089"/>
    <n v="905673000000"/>
    <n v="167.53"/>
    <n v="167.43"/>
    <n v="15732.812"/>
    <n v="-0.1"/>
    <n v="-0.06"/>
    <n v="552.68799999999999"/>
    <n v="670.1"/>
    <n v="51934.125"/>
    <n v="70.686000000000007"/>
    <n v="46.889000000000003"/>
    <n v="2096.123"/>
    <n v="610.67600000000004"/>
    <n v="14.67"/>
    <n v="8.7569999999999997"/>
    <n v="118.42"/>
    <n v="70.686000000000007"/>
    <n v="134679.92199999999"/>
    <n v="81.05"/>
    <n v="522622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2.44"/>
  </r>
  <r>
    <x v="1"/>
    <n v="-1.39"/>
  </r>
  <r>
    <x v="2"/>
    <n v="-1.78"/>
  </r>
  <r>
    <x v="3"/>
    <n v="-6.73"/>
  </r>
  <r>
    <x v="4"/>
    <n v="6.82"/>
  </r>
  <r>
    <x v="5"/>
    <n v="-6.93"/>
  </r>
  <r>
    <x v="6"/>
    <n v="7.0000000000000007E-2"/>
  </r>
  <r>
    <x v="7"/>
    <n v="0"/>
  </r>
  <r>
    <x v="8"/>
    <n v="1.85"/>
  </r>
  <r>
    <x v="9"/>
    <n v="-2.3199999999999998"/>
  </r>
  <r>
    <x v="10"/>
    <n v="-0.04"/>
  </r>
  <r>
    <x v="11"/>
    <n v="-0.55000000000000004"/>
  </r>
  <r>
    <x v="12"/>
    <n v="0.65"/>
  </r>
  <r>
    <x v="13"/>
    <n v="2.5"/>
  </r>
  <r>
    <x v="14"/>
    <n v="4.0199999999999996"/>
  </r>
  <r>
    <x v="15"/>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1887A8-56EF-4198-8EA9-1D00F5781F9F}" name="PivotTable1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29" firstHeaderRow="1" firstDataRow="1" firstDataCol="1" rowPageCount="1" colPageCount="1"/>
  <pivotFields count="26">
    <pivotField axis="axisPage" multipleItemSelectionAllowed="1" showAll="0">
      <items count="17">
        <item h="1" x="0"/>
        <item h="1" x="1"/>
        <item h="1" x="2"/>
        <item h="1" x="3"/>
        <item h="1" x="4"/>
        <item h="1" x="5"/>
        <item x="6"/>
        <item h="1" x="7"/>
        <item h="1" x="8"/>
        <item h="1" x="9"/>
        <item h="1" x="10"/>
        <item h="1" x="11"/>
        <item x="12"/>
        <item x="13"/>
        <item h="1" x="14"/>
        <item h="1" x="15"/>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0" hier="-1"/>
  </pageFields>
  <dataFields count="1">
    <dataField name="Average of energy_per_capita" fld="23"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F9DC25-B107-4952-97C0-B434DC997831}" name="PivotTable1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6">
    <pivotField showAll="0">
      <items count="17">
        <item h="1" x="0"/>
        <item h="1" x="1"/>
        <item h="1" x="2"/>
        <item h="1" x="3"/>
        <item h="1" x="4"/>
        <item h="1" x="5"/>
        <item x="6"/>
        <item h="1" x="7"/>
        <item h="1" x="8"/>
        <item h="1" x="9"/>
        <item h="1" x="10"/>
        <item h="1" x="11"/>
        <item x="12"/>
        <item x="13"/>
        <item h="1" x="14"/>
        <item h="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42245-421D-4C20-82F1-23B2AB1A03F8}"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8" firstHeaderRow="1" firstDataRow="1" firstDataCol="1"/>
  <pivotFields count="12">
    <pivotField axis="axisRow"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showAll="0"/>
    <pivotField showAll="0"/>
    <pivotField showAll="0"/>
    <pivotField showAll="0"/>
    <pivotField showAll="0"/>
    <pivotField showAll="0"/>
    <pivotField showAll="0"/>
    <pivotField showAll="0"/>
    <pivotField dataField="1" numFmtId="10" showAll="0"/>
    <pivotField showAll="0"/>
    <pivotField numFmtId="3" showAll="0"/>
  </pivotFields>
  <rowFields count="1">
    <field x="0"/>
  </rowFields>
  <rowItems count="5">
    <i>
      <x/>
    </i>
    <i>
      <x v="1"/>
    </i>
    <i>
      <x v="2"/>
    </i>
    <i>
      <x v="3"/>
    </i>
    <i t="grand">
      <x/>
    </i>
  </rowItems>
  <colItems count="1">
    <i/>
  </colItems>
  <dataFields count="1">
    <dataField name="Sum of Renewables Share (%)" fld="9" baseField="0" baseItem="0" numFmtId="10"/>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DD3256-F4DE-48BF-A121-50773ED06134}"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12">
    <pivotField axis="axisRow"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showAll="0"/>
    <pivotField showAll="0"/>
    <pivotField dataField="1" showAll="0"/>
    <pivotField showAll="0"/>
    <pivotField dataField="1" showAll="0"/>
    <pivotField showAll="0"/>
    <pivotField showAll="0"/>
    <pivotField showAll="0"/>
    <pivotField numFmtId="10" showAll="0"/>
    <pivotField showAll="0"/>
    <pivotField numFmtId="3" showAll="0"/>
  </pivotFields>
  <rowFields count="1">
    <field x="0"/>
  </rowFields>
  <rowItems count="5">
    <i>
      <x/>
    </i>
    <i>
      <x v="1"/>
    </i>
    <i>
      <x v="2"/>
    </i>
    <i>
      <x v="3"/>
    </i>
    <i t="grand">
      <x/>
    </i>
  </rowItems>
  <colFields count="1">
    <field x="-2"/>
  </colFields>
  <colItems count="2">
    <i>
      <x/>
    </i>
    <i i="1">
      <x v="1"/>
    </i>
  </colItems>
  <dataFields count="2">
    <dataField name="Sum of Gas Production (TWH eq)" fld="3" baseField="0" baseItem="0"/>
    <dataField name="Sum of Oil Production (TWH eq)"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1FE223-41EF-41A6-9459-06ABFB06E347}"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12">
    <pivotField axis="axisRow"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dataField="1" showAll="0"/>
    <pivotField dataField="1" showAll="0"/>
    <pivotField showAll="0"/>
    <pivotField showAll="0"/>
    <pivotField showAll="0"/>
    <pivotField showAll="0"/>
    <pivotField showAll="0"/>
    <pivotField showAll="0"/>
    <pivotField numFmtId="10" showAll="0"/>
    <pivotField showAll="0"/>
    <pivotField numFmtId="3" showAll="0"/>
  </pivotFields>
  <rowFields count="1">
    <field x="0"/>
  </rowFields>
  <rowItems count="5">
    <i>
      <x/>
    </i>
    <i>
      <x v="1"/>
    </i>
    <i>
      <x v="2"/>
    </i>
    <i>
      <x v="3"/>
    </i>
    <i t="grand">
      <x/>
    </i>
  </rowItems>
  <colFields count="1">
    <field x="-2"/>
  </colFields>
  <colItems count="2">
    <i>
      <x/>
    </i>
    <i i="1">
      <x v="1"/>
    </i>
  </colItems>
  <dataFields count="2">
    <dataField name="Sum of Electricity Generation(TWH)" fld="1" baseField="0" baseItem="0"/>
    <dataField name="Sum of Electricity Demand (TWH0"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8D0EC-D432-40A3-AD4E-17C582B97C56}"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2">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net_elec_imports"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gypt_Energy_Project5.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44DF49-74B1-4E1E-A522-C6C09CAB6BAE}"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12">
    <pivotField axis="axisRow" multipleItemSelectionAllowed="1"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dataField="1" showAll="0">
      <items count="25">
        <item x="0"/>
        <item x="1"/>
        <item x="2"/>
        <item x="3"/>
        <item x="4"/>
        <item x="5"/>
        <item x="6"/>
        <item x="7"/>
        <item x="8"/>
        <item x="9"/>
        <item x="10"/>
        <item x="11"/>
        <item x="12"/>
        <item x="13"/>
        <item x="14"/>
        <item x="15"/>
        <item x="16"/>
        <item x="17"/>
        <item x="20"/>
        <item x="18"/>
        <item x="19"/>
        <item x="21"/>
        <item x="22"/>
        <item x="23"/>
        <item t="default"/>
      </items>
    </pivotField>
    <pivotField dataField="1" showAll="0">
      <items count="25">
        <item x="0"/>
        <item x="1"/>
        <item x="2"/>
        <item x="3"/>
        <item x="4"/>
        <item x="5"/>
        <item x="6"/>
        <item x="7"/>
        <item x="8"/>
        <item x="9"/>
        <item x="10"/>
        <item x="11"/>
        <item x="12"/>
        <item x="13"/>
        <item x="14"/>
        <item x="15"/>
        <item x="16"/>
        <item x="17"/>
        <item x="20"/>
        <item x="18"/>
        <item x="19"/>
        <item x="21"/>
        <item x="22"/>
        <item x="23"/>
        <item t="default"/>
      </items>
    </pivotField>
    <pivotField showAll="0"/>
    <pivotField showAll="0"/>
    <pivotField showAll="0"/>
    <pivotField showAll="0"/>
    <pivotField showAll="0"/>
    <pivotField showAll="0"/>
    <pivotField numFmtId="10" showAll="0"/>
    <pivotField showAll="0"/>
    <pivotField numFmtId="3" showAll="0"/>
  </pivotFields>
  <rowFields count="1">
    <field x="0"/>
  </rowFields>
  <rowItems count="5">
    <i>
      <x/>
    </i>
    <i>
      <x v="1"/>
    </i>
    <i>
      <x v="2"/>
    </i>
    <i>
      <x v="3"/>
    </i>
    <i t="grand">
      <x/>
    </i>
  </rowItems>
  <colFields count="1">
    <field x="-2"/>
  </colFields>
  <colItems count="2">
    <i>
      <x/>
    </i>
    <i i="1">
      <x v="1"/>
    </i>
  </colItems>
  <dataFields count="2">
    <dataField name="Sum of Electricity Generation(TWH)" fld="1" baseField="0" baseItem="0"/>
    <dataField name="Sum of Electricity Demand (TWH0" fld="2" baseField="0" baseItem="12" numFmtId="4"/>
  </dataFields>
  <chartFormats count="4">
    <chartFormat chart="0" format="0" series="1">
      <pivotArea type="data" outline="0" fieldPosition="0">
        <references count="1">
          <reference field="4294967294" count="1" selected="0">
            <x v="1"/>
          </reference>
        </references>
      </pivotArea>
    </chartFormat>
    <chartFormat chart="3" format="27" series="1">
      <pivotArea type="data" outline="0" fieldPosition="0">
        <references count="1">
          <reference field="4294967294" count="1" selected="0">
            <x v="1"/>
          </reference>
        </references>
      </pivotArea>
    </chartFormat>
    <chartFormat chart="3" format="28"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A3592F-7341-4C3C-8E28-01271B24C8C7}"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12">
    <pivotField axis="axisRow"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showAll="0"/>
    <pivotField showAll="0"/>
    <pivotField dataField="1" showAll="0">
      <items count="25">
        <item x="0"/>
        <item x="1"/>
        <item x="2"/>
        <item x="3"/>
        <item x="4"/>
        <item x="16"/>
        <item x="5"/>
        <item x="15"/>
        <item x="14"/>
        <item x="17"/>
        <item x="6"/>
        <item x="7"/>
        <item x="13"/>
        <item x="8"/>
        <item x="23"/>
        <item x="20"/>
        <item x="18"/>
        <item x="12"/>
        <item x="10"/>
        <item x="11"/>
        <item x="9"/>
        <item x="22"/>
        <item x="19"/>
        <item x="21"/>
        <item t="default"/>
      </items>
    </pivotField>
    <pivotField dataField="1" showAll="0"/>
    <pivotField showAll="0"/>
    <pivotField showAll="0"/>
    <pivotField showAll="0"/>
    <pivotField showAll="0"/>
    <pivotField numFmtId="10" showAll="0"/>
    <pivotField showAll="0"/>
    <pivotField numFmtId="3" showAll="0"/>
  </pivotFields>
  <rowFields count="1">
    <field x="0"/>
  </rowFields>
  <rowItems count="5">
    <i>
      <x/>
    </i>
    <i>
      <x v="1"/>
    </i>
    <i>
      <x v="2"/>
    </i>
    <i>
      <x v="3"/>
    </i>
    <i t="grand">
      <x/>
    </i>
  </rowItems>
  <colFields count="1">
    <field x="-2"/>
  </colFields>
  <colItems count="2">
    <i>
      <x/>
    </i>
    <i i="1">
      <x v="1"/>
    </i>
  </colItems>
  <dataFields count="2">
    <dataField name="Sum of Gas Production (TWH eq)" fld="3" baseField="0" baseItem="0"/>
    <dataField name="Sum of Gas Consumption (TWH eq)" fld="4" baseField="0" baseItem="0"/>
  </dataField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0ACF61-7C98-4125-AD72-75E1BC029560}"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C8" firstHeaderRow="0" firstDataRow="1" firstDataCol="1"/>
  <pivotFields count="12">
    <pivotField axis="axisRow" multipleItemSelectionAllowed="1" showAll="0">
      <items count="25">
        <item x="0"/>
        <item x="1"/>
        <item x="2"/>
        <item x="3"/>
        <item h="1" x="4"/>
        <item h="1" x="5"/>
        <item h="1" x="6"/>
        <item h="1" x="7"/>
        <item h="1" x="8"/>
        <item h="1" x="9"/>
        <item h="1" x="10"/>
        <item h="1" x="11"/>
        <item h="1" x="12"/>
        <item h="1" x="13"/>
        <item h="1" x="14"/>
        <item h="1" x="15"/>
        <item h="1" x="16"/>
        <item h="1" x="17"/>
        <item h="1" x="18"/>
        <item h="1" x="19"/>
        <item h="1" x="20"/>
        <item h="1" x="21"/>
        <item h="1" x="22"/>
        <item h="1" x="23"/>
        <item t="default"/>
      </items>
    </pivotField>
    <pivotField showAll="0"/>
    <pivotField showAll="0"/>
    <pivotField showAll="0"/>
    <pivotField showAll="0"/>
    <pivotField dataField="1" showAll="0">
      <items count="25">
        <item x="21"/>
        <item x="23"/>
        <item x="22"/>
        <item x="20"/>
        <item x="19"/>
        <item x="17"/>
        <item x="18"/>
        <item x="6"/>
        <item x="5"/>
        <item x="7"/>
        <item x="16"/>
        <item x="13"/>
        <item x="11"/>
        <item x="8"/>
        <item x="12"/>
        <item x="4"/>
        <item x="10"/>
        <item x="14"/>
        <item x="9"/>
        <item x="15"/>
        <item x="3"/>
        <item x="2"/>
        <item x="1"/>
        <item x="0"/>
        <item t="default"/>
      </items>
    </pivotField>
    <pivotField dataField="1" showAll="0"/>
    <pivotField showAll="0"/>
    <pivotField showAll="0"/>
    <pivotField numFmtId="10" showAll="0"/>
    <pivotField showAll="0"/>
    <pivotField numFmtId="3" showAll="0"/>
  </pivotFields>
  <rowFields count="1">
    <field x="0"/>
  </rowFields>
  <rowItems count="5">
    <i>
      <x/>
    </i>
    <i>
      <x v="1"/>
    </i>
    <i>
      <x v="2"/>
    </i>
    <i>
      <x v="3"/>
    </i>
    <i t="grand">
      <x/>
    </i>
  </rowItems>
  <colFields count="1">
    <field x="-2"/>
  </colFields>
  <colItems count="2">
    <i>
      <x/>
    </i>
    <i i="1">
      <x v="1"/>
    </i>
  </colItems>
  <dataFields count="2">
    <dataField name="Sum of Oil Production (TWH eq)" fld="5" baseField="0" baseItem="0"/>
    <dataField name="Sum of Oil Consumption (TWH eq)" fld="6" baseField="0" baseItem="0"/>
  </dataFields>
  <chartFormats count="6">
    <chartFormat chart="17" format="0"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1"/>
          </reference>
        </references>
      </pivotArea>
    </chartFormat>
    <chartFormat chart="28" format="3"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BE876E-1FF0-4190-BC24-0BEC31515E70}" name="PivotTable19"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4:B21" firstHeaderRow="1" firstDataRow="1" firstDataCol="1" rowPageCount="2" colPageCount="1"/>
  <pivotFields count="4">
    <pivotField dataField="1" subtotalTop="0" showAll="0" defaultSubtotal="0"/>
    <pivotField axis="axisRow" allDrilled="1" showAll="0" dataSourceSort="1" defaultAttributeDrillState="1">
      <items count="17">
        <item x="0"/>
        <item x="1"/>
        <item x="2"/>
        <item x="3"/>
        <item x="4"/>
        <item x="5"/>
        <item x="6"/>
        <item x="7"/>
        <item x="8"/>
        <item x="9"/>
        <item x="10"/>
        <item x="11"/>
        <item x="12"/>
        <item x="13"/>
        <item x="14"/>
        <item x="15"/>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Items count="1">
    <i/>
  </colItems>
  <pageFields count="2">
    <pageField fld="2" hier="1" name="[Table1].[year].[All]" cap="All"/>
    <pageField fld="3" hier="0" name="[Table1].[country].[All]" cap="All"/>
  </pageFields>
  <dataFields count="1">
    <dataField name="Sum of Net Elec Imports (TWh)" fld="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3D11E2-2BD9-4112-9CE7-4EC91B34AC85}" name="PivotTable18"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8:F65" firstHeaderRow="1" firstDataRow="1" firstDataCol="1"/>
  <pivotFields count="2">
    <pivotField axis="axisRow" showAll="0">
      <items count="17">
        <item x="0"/>
        <item x="1"/>
        <item x="2"/>
        <item x="3"/>
        <item x="4"/>
        <item x="5"/>
        <item x="6"/>
        <item x="7"/>
        <item x="8"/>
        <item x="9"/>
        <item x="10"/>
        <item x="11"/>
        <item x="12"/>
        <item x="13"/>
        <item x="14"/>
        <item x="15"/>
        <item t="default"/>
      </items>
    </pivotField>
    <pivotField dataField="1" showAll="0"/>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Sum of Net Elec Imports (TWh)"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CE19CC-037F-49A0-9D1A-1874876C9A20}" name="PivotTable1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8:O33" firstHeaderRow="0" firstDataRow="1" firstDataCol="1"/>
  <pivotFields count="5">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numFmtId="10" showAll="0"/>
    <pivotField dataField="1" showAll="0"/>
    <pivotField dataField="1" numFmtId="2"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Gas Net Balance (Prod-Cons, TWh eq)" fld="3" baseField="0" baseItem="0"/>
    <dataField name="Sum of Oil Net Balance (Prod-Cons, TWh eq)" fld="4"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0BD8AC-4C84-4725-A343-58002D6A17F0}" name="PivotTable1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1:O46" firstHeaderRow="1" firstDataRow="1" firstDataCol="1"/>
  <pivotFields count="4">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First Tier Price (EGP/kWh, 0-50 kWh)" fld="1" baseField="0" baseItem="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E337F6B-2EF1-4ED0-AC1E-2D8EA35E094C}" sourceName="year">
  <pivotTables>
    <pivotTable tabId="6" name="PivotTable2"/>
    <pivotTable tabId="7" name="PivotTable3"/>
    <pivotTable tabId="11" name="PivotTable7"/>
    <pivotTable tabId="17" name="PivotTable5"/>
    <pivotTable tabId="18" name="PivotTable6"/>
    <pivotTable tabId="19" name="PivotTable7"/>
  </pivotTables>
  <data>
    <tabular pivotCacheId="1186705888">
      <items count="24">
        <i x="0" s="1"/>
        <i x="1" s="1"/>
        <i x="2" s="1"/>
        <i x="3" s="1"/>
        <i x="4"/>
        <i x="5"/>
        <i x="6"/>
        <i x="7"/>
        <i x="8"/>
        <i x="9"/>
        <i x="10"/>
        <i x="11"/>
        <i x="12"/>
        <i x="13"/>
        <i x="14"/>
        <i x="15"/>
        <i x="16"/>
        <i x="17"/>
        <i x="18"/>
        <i x="19"/>
        <i x="20"/>
        <i x="21"/>
        <i x="22"/>
        <i x="2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13B6D7-23D0-4C49-B8B6-6C820FAC29FA}" sourceName="country">
  <pivotTables>
    <pivotTable tabId="22" name="PivotTable16"/>
    <pivotTable tabId="23" name="PivotTable17"/>
  </pivotTables>
  <data>
    <tabular pivotCacheId="587046765">
      <items count="16">
        <i x="0"/>
        <i x="1"/>
        <i x="2"/>
        <i x="3"/>
        <i x="4"/>
        <i x="5"/>
        <i x="6" s="1"/>
        <i x="7"/>
        <i x="8"/>
        <i x="9"/>
        <i x="10"/>
        <i x="11"/>
        <i x="12" s="1"/>
        <i x="13" s="1"/>
        <i x="14"/>
        <i x="1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DD5850A-1999-48F4-A6F4-0E767DAE219D}" sourceName="year">
  <pivotTables>
    <pivotTable tabId="22" name="PivotTable16"/>
  </pivotTables>
  <data>
    <tabular pivotCacheId="58704676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FE842EE-C1DB-4181-B59E-142C751925FF}" cache="Slicer_country" caption="country" rowHeight="257175"/>
  <slicer name="year 2" xr10:uid="{06E46BE6-BED9-49E4-AB36-2FA5C0DE5A6E}" cache="Slicer_year1" caption="year" startItem="10"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FDDA1BE-E69F-4051-AD9F-EFA81FBF1BFC}" cache="Slicer_year" caption="year"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243DFA-8DCF-4EC5-A353-345DFE5B4F6F}" cache="Slicer_year" caption="year" showCaption="0" style="Slicer Style 1" rowHeight="1005840"/>
  <slicer name="country 1" xr10:uid="{9541D2F9-E9D0-4D6B-AE50-D97B86B170EC}" cache="Slicer_country" caption="country" showCaption="0" style="Slicer Style 1" rowHeight="10058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7C9A64-16FA-42E6-BB85-7241B7950361}" name="Table1" displayName="Table1" ref="A1:Z385" totalsRowShown="0">
  <autoFilter ref="A1:Z385" xr:uid="{F77C9A64-16FA-42E6-BB85-7241B7950361}">
    <filterColumn colId="0">
      <filters>
        <filter val="Egypt"/>
      </filters>
    </filterColumn>
  </autoFilter>
  <tableColumns count="26">
    <tableColumn id="1" xr3:uid="{102745DF-3BC5-4278-9A9E-42273CC61250}" name="country"/>
    <tableColumn id="2" xr3:uid="{A1A44959-8112-4D77-A835-69AC9D388AF4}" name="year"/>
    <tableColumn id="3" xr3:uid="{B9238218-EB08-4997-BC42-6E2535CB4183}" name="iso_code"/>
    <tableColumn id="4" xr3:uid="{9AD52DE2-C133-48A2-B5C5-264EFC42E9E3}" name="region"/>
    <tableColumn id="5" xr3:uid="{6632491F-1EB5-4FF6-B4E9-7267606E90DB}" name="income_group"/>
    <tableColumn id="6" xr3:uid="{3F03556C-394E-4170-9250-84516B945D05}" name="population"/>
    <tableColumn id="7" xr3:uid="{4079B189-BB50-4AA7-AB2A-D8FC006B296C}" name="gdp" dataDxfId="20"/>
    <tableColumn id="8" xr3:uid="{46165650-0A6D-4F61-AA04-DB9D49F31C49}" name="electricity_generation"/>
    <tableColumn id="9" xr3:uid="{3ACAD3DD-5BC8-4E2A-9031-A6E5DF423A61}" name="electricity_demand"/>
    <tableColumn id="10" xr3:uid="{98C5E48E-4F86-4DF8-A5BA-FC81C78AFD45}" name="electricity_demand_per_capita"/>
    <tableColumn id="11" xr3:uid="{EF6630FF-FFEA-4652-A4FD-191037160FE4}" name="net_elec_imports"/>
    <tableColumn id="12" xr3:uid="{D07F8275-8D43-4BFE-9EE3-5C8EEA7C628A}" name="net_elec_imports_share_demand"/>
    <tableColumn id="13" xr3:uid="{15BE91D0-5570-4F42-9BD7-FE174D60DFEA}" name="gas_production"/>
    <tableColumn id="14" xr3:uid="{36F07D54-781C-452E-9794-947D4AADFCEA}" name="gas_consumption"/>
    <tableColumn id="15" xr3:uid="{552784A7-87EF-42CF-8FEA-FB1A824DD527}" name="gas_prod_per_capita"/>
    <tableColumn id="16" xr3:uid="{5EA1CE55-578A-4EA2-8FE6-3CA3FC4E82B9}" name="gas_share_elec"/>
    <tableColumn id="17" xr3:uid="{C8379DB4-84A7-44DB-9B0E-169B44AF743F}" name="gas_share_energy"/>
    <tableColumn id="18" xr3:uid="{E265B071-BDB9-4B16-BC40-A28BE658656D}" name="oil_production"/>
    <tableColumn id="19" xr3:uid="{36A92E88-2A9E-4560-B232-9B779917804E}" name="oil_consumption"/>
    <tableColumn id="20" xr3:uid="{9181B645-AD8E-4860-A87D-49F94A251891}" name="renewables_electricity"/>
    <tableColumn id="21" xr3:uid="{47F2C480-9A01-45B2-96D9-C9A6EF524526}" name="renewables_share_elec"/>
    <tableColumn id="22" xr3:uid="{AB183C8E-C0D3-4ADA-8F79-9466EE099AC3}" name="fossil_electricity"/>
    <tableColumn id="23" xr3:uid="{16484C63-67F1-4CF9-9457-8B08D2803A3B}" name="fossil_share_elec"/>
    <tableColumn id="24" xr3:uid="{3C579830-4A96-4903-B6DA-7212D950DC24}" name="energy_per_capita"/>
    <tableColumn id="25" xr3:uid="{559C6809-AE94-4676-9B62-45822AF9100B}" name="greenhouse_gas_emissions"/>
    <tableColumn id="26" xr3:uid="{B7BF522C-1492-43BD-A384-31857F54858C}" name="gdp_worldbank_usd"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E3431E-F145-479D-9D8A-1DD4F5C9F4DF}" name="Table3" displayName="Table3" ref="A2:R26" totalsRowShown="0">
  <autoFilter ref="A2:R26" xr:uid="{98E3431E-F145-479D-9D8A-1DD4F5C9F4DF}"/>
  <tableColumns count="18">
    <tableColumn id="1" xr3:uid="{FC2E7DB3-F61D-43C4-9CCE-3FD3B443022B}" name="year">
      <calculatedColumnFormula>A2+1</calculatedColumnFormula>
    </tableColumn>
    <tableColumn id="2" xr3:uid="{5C9F66DF-2A69-45C7-B1FB-49D80403EAAC}" name="Electricity Generation(TWH)"/>
    <tableColumn id="3" xr3:uid="{C975AC64-70FB-4866-919F-BA6A4B2C81A3}" name="Electricity Demand (TWH0"/>
    <tableColumn id="17" xr3:uid="{DA395BC9-84AD-4D45-8EFD-D8A1736DC1E8}" name="electricity_demand_per_capita"/>
    <tableColumn id="18" xr3:uid="{F7BAA2C5-1DA9-4272-8663-4FD7021F4B7E}" name="net_elec_imports"/>
    <tableColumn id="4" xr3:uid="{67072204-2C21-453A-820E-7A8F8A449593}" name="Gas Production (TWH eq)"/>
    <tableColumn id="5" xr3:uid="{CAD6F4F2-C636-4D96-813A-F6CD34E2833F}" name="Gas Consumption (TWH eq)"/>
    <tableColumn id="16" xr3:uid="{E0FBCB68-F986-46C4-B18E-509DCC44B6FA}" name="gas_prod_per_capita"/>
    <tableColumn id="6" xr3:uid="{5D235AC2-46E7-4969-9AC6-FF86FAF11173}" name="Oil Production (TWH eq)" dataDxfId="2">
      <calculatedColumnFormula>SUMIFS(Table1[gas_consumption],Table1[country],"Egypt",Table1[year],2000)</calculatedColumnFormula>
    </tableColumn>
    <tableColumn id="7" xr3:uid="{B20F51FD-3AE4-498E-8904-90E71DA88C10}" name="Oil Consumption (TWH eq)">
      <calculatedColumnFormula>SUMIFS(Table1[oil_consumption],Table1[country],"Egypt",Table1[year],EnergyData!B26)</calculatedColumnFormula>
    </tableColumn>
    <tableColumn id="8" xr3:uid="{DB522D12-5F07-4AC9-BC81-B942F6309C2D}" name="Renewable Elec (TWH)">
      <calculatedColumnFormula>SUMIFS(Table1[renewables_electricity],Table1[country],"Egypt",Table1[year],EnergyData!B26)</calculatedColumnFormula>
    </tableColumn>
    <tableColumn id="14" xr3:uid="{C607155C-6EC4-4AE4-B1D0-9BD30E0CCAAD}" name="renewables_share_elec"/>
    <tableColumn id="9" xr3:uid="{3060249C-78A9-47AD-BF2E-8DA8308215E4}" name="Fossil Elec (TWh)">
      <calculatedColumnFormula>SUMIFS(Table1[fossil_electricity],Table1[country],"Egypt",Table1[year],EnergyData!B26)</calculatedColumnFormula>
    </tableColumn>
    <tableColumn id="10" xr3:uid="{4FAB168E-C78E-4131-BEFC-D8AAF30B6277}" name="Renewables Share (%)">
      <calculatedColumnFormula>IFERROR(K3/(K3+M3),0)</calculatedColumnFormula>
    </tableColumn>
    <tableColumn id="13" xr3:uid="{85888509-345A-4FA7-AE8B-7CF1CE16901D}" name="energy_per_capita" dataDxfId="1"/>
    <tableColumn id="11" xr3:uid="{3BD7417E-337D-4928-9060-080EA6399364}" name="Gas Net Balance (TWh eq)">
      <calculatedColumnFormula>Table3[[#This Row],[Gas Production (TWH eq)]]-Table3[[#This Row],[Gas Consumption (TWH eq)]]</calculatedColumnFormula>
    </tableColumn>
    <tableColumn id="12" xr3:uid="{55348781-8BC8-48DF-B22D-CD1944DC58FA}" name="GDP (current US$, WB)">
      <calculatedColumnFormula>SUMIFS(Table1[gdp_worldbank_usd],Table1[country],"Egypt",Table1[year],EnergyData!B26)</calculatedColumnFormula>
    </tableColumn>
    <tableColumn id="15" xr3:uid="{0D462EFB-5F5A-45CD-BC87-23B1E807C2E4}" name="gas_share_elec"/>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B49938-9041-49AA-B341-4241ADC418D7}" name="Table4" displayName="Table4" ref="B30:C34" totalsRowShown="0">
  <autoFilter ref="B30:C34" xr:uid="{45B49938-9041-49AA-B341-4241ADC418D7}"/>
  <tableColumns count="2">
    <tableColumn id="1" xr3:uid="{A1D2B2EC-D044-4D48-87D4-E5BD9F11EA4C}" name="أحدث سنة متاحة: 2023" dataDxfId="18"/>
    <tableColumn id="2" xr3:uid="{32F8183F-4587-4CFA-B2BF-E6D8A3591C16}"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2BDD10-174D-4405-8979-501172C8FE67}" name="Table5" displayName="Table5" ref="A1:E25" totalsRowShown="0" headerRowDxfId="17" headerRowBorderDxfId="16" tableBorderDxfId="15">
  <autoFilter ref="A1:E25" xr:uid="{382BDD10-174D-4405-8979-501172C8FE67}"/>
  <tableColumns count="5">
    <tableColumn id="1" xr3:uid="{A1108AAD-BD98-4C4A-8EC8-F7B483D839E5}" name="Year"/>
    <tableColumn id="2" xr3:uid="{5C8F9287-A872-4C0F-9F53-4A306A2587FB}" name="Net Elec Imports (TWh)">
      <calculatedColumnFormula>SUMIFS(Table1[net_elec_imports],Table1[country],"Egypt",Table1[year],EnergyData!B26)</calculatedColumnFormula>
    </tableColumn>
    <tableColumn id="3" xr3:uid="{24B5DC5E-6E44-44F6-8E31-478BB004179F}" name="Net Elec Imports Share of Demand (%)">
      <calculatedColumnFormula>SUMIFS(Table1[net_elec_imports_share_demand],Table1[country],"Egypt",Table1[year],EnergyData!B26)/100</calculatedColumnFormula>
    </tableColumn>
    <tableColumn id="4" xr3:uid="{CD468A3D-3589-438D-9372-7F825EFF7DC1}" name="Gas Net Balance (Prod-Cons, TWh eq)">
      <calculatedColumnFormula>SUMIFS(Table1[gas_production],Table1[country],"Egypt",Table1[year],EnergyData!B26)-SUMIFS(Table1[gas_consumption],Table1[country],"Egypt",Table1[year],EnergyData!B26)</calculatedColumnFormula>
    </tableColumn>
    <tableColumn id="5" xr3:uid="{D532A9F0-C61C-4FAC-8ADF-528E75A7B178}" name="Oil Net Balance (Prod-Cons, TWh eq)">
      <calculatedColumnFormula>SUMIFS(Table1[oil_production],Table1[country],"Egypt",Table1[year],EnergyData!B26)-SUMIFS(Table1[oil_consumption],Table1[country],"Egypt",Table1[year],EnergyData!B26)</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B5C4F3-C3EF-4669-84F8-1406AEF02FCA}" name="Table6" displayName="Table6" ref="B29:C45" totalsRowShown="0" headerRowDxfId="14" headerRowBorderDxfId="13" tableBorderDxfId="12">
  <autoFilter ref="B29:C45" xr:uid="{04B5C4F3-C3EF-4669-84F8-1406AEF02FCA}"/>
  <tableColumns count="2">
    <tableColumn id="1" xr3:uid="{E140ADFF-77B2-4AD9-91F7-5FD929A1D256}" name="Country"/>
    <tableColumn id="2" xr3:uid="{3D37C219-DBCC-4CA5-9EC7-FA16844A111A}" name="Net Elec Imports (TW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5F1AFD-FD25-4421-8D12-EE678C267822}" name="Table7" displayName="Table7" ref="C4:E11" totalsRowShown="0" headerRowDxfId="11" headerRowBorderDxfId="10" tableBorderDxfId="9">
  <autoFilter ref="C4:E11" xr:uid="{C55F1AFD-FD25-4421-8D12-EE678C267822}"/>
  <tableColumns count="3">
    <tableColumn id="1" xr3:uid="{EE252E3D-06EA-4232-86B8-4147383573B6}" name="Consumption Tier (kWh/month)"/>
    <tableColumn id="2" xr3:uid="{3BEC15CF-536B-43EA-84AC-1D2C065E35D4}" name="Residential Price (EGP/kWh)" dataDxfId="8"/>
    <tableColumn id="3" xr3:uid="{F4529E59-DB90-496C-AD1F-05ABC70CF69A}" name="Effective Sinc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6AD57F-B3E6-4F3C-AA29-0CBD4F574245}" name="Table8" displayName="Table8" ref="D6:G30" totalsRowShown="0" headerRowDxfId="7" headerRowBorderDxfId="6" tableBorderDxfId="5">
  <autoFilter ref="D6:G30" xr:uid="{B16AD57F-B3E6-4F3C-AA29-0CBD4F574245}"/>
  <tableColumns count="4">
    <tableColumn id="1" xr3:uid="{A3069C98-22CB-4DCD-961A-961B3A55F34C}" name="Year"/>
    <tableColumn id="2" xr3:uid="{446EC08E-E3CF-47A0-8570-4BF53DD04CFE}" name="First Tier Price (EGP/kWh, 0-50 kWh)" dataDxfId="4"/>
    <tableColumn id="3" xr3:uid="{DF1D123F-19D3-412A-9741-894EACB65AB8}" name="Status" dataDxfId="3"/>
    <tableColumn id="4" xr3:uid="{5B2A5AFA-8D7C-4900-B7F3-679E0A61767D}"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table" Target="../tables/table5.xml"/><Relationship Id="rId4"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4038-457D-4C92-993F-198FD3D285D8}">
  <dimension ref="A2:B29"/>
  <sheetViews>
    <sheetView workbookViewId="0">
      <selection activeCell="B11" sqref="B11"/>
    </sheetView>
  </sheetViews>
  <sheetFormatPr defaultRowHeight="15"/>
  <cols>
    <col min="1" max="1" width="13.42578125" bestFit="1" customWidth="1"/>
    <col min="2" max="2" width="27.7109375" bestFit="1" customWidth="1"/>
    <col min="3" max="3" width="29" bestFit="1" customWidth="1"/>
    <col min="4" max="4" width="24.42578125" bestFit="1" customWidth="1"/>
    <col min="5" max="5" width="28.7109375" bestFit="1" customWidth="1"/>
  </cols>
  <sheetData>
    <row r="2" spans="1:2">
      <c r="A2" s="2" t="s">
        <v>0</v>
      </c>
      <c r="B2" t="s">
        <v>124</v>
      </c>
    </row>
    <row r="4" spans="1:2">
      <c r="A4" s="2" t="s">
        <v>65</v>
      </c>
      <c r="B4" t="s">
        <v>134</v>
      </c>
    </row>
    <row r="5" spans="1:2">
      <c r="A5" s="3">
        <v>2000</v>
      </c>
      <c r="B5" s="20">
        <v>7479.4503333333341</v>
      </c>
    </row>
    <row r="6" spans="1:2">
      <c r="A6" s="3">
        <v>2001</v>
      </c>
      <c r="B6" s="20">
        <v>7551.1039999999994</v>
      </c>
    </row>
    <row r="7" spans="1:2">
      <c r="A7" s="3">
        <v>2002</v>
      </c>
      <c r="B7" s="20">
        <v>7647.7176666666664</v>
      </c>
    </row>
    <row r="8" spans="1:2">
      <c r="A8" s="3">
        <v>2003</v>
      </c>
      <c r="B8" s="20">
        <v>7843.4516666666668</v>
      </c>
    </row>
    <row r="9" spans="1:2">
      <c r="A9" s="3">
        <v>2004</v>
      </c>
      <c r="B9" s="20">
        <v>8166.8180000000002</v>
      </c>
    </row>
    <row r="10" spans="1:2">
      <c r="A10" s="3">
        <v>2005</v>
      </c>
      <c r="B10" s="20">
        <v>8741.3093333333327</v>
      </c>
    </row>
    <row r="11" spans="1:2">
      <c r="A11" s="3">
        <v>2006</v>
      </c>
      <c r="B11" s="20">
        <v>8467.6666666666661</v>
      </c>
    </row>
    <row r="12" spans="1:2">
      <c r="A12" s="3">
        <v>2007</v>
      </c>
      <c r="B12" s="20">
        <v>7676.0423333333338</v>
      </c>
    </row>
    <row r="13" spans="1:2">
      <c r="A13" s="3">
        <v>2008</v>
      </c>
      <c r="B13" s="20">
        <v>7889.5886666666665</v>
      </c>
    </row>
    <row r="14" spans="1:2">
      <c r="A14" s="3">
        <v>2009</v>
      </c>
      <c r="B14" s="20">
        <v>7385.8976666666667</v>
      </c>
    </row>
    <row r="15" spans="1:2">
      <c r="A15" s="3">
        <v>2010</v>
      </c>
      <c r="B15" s="20">
        <v>7529.592333333334</v>
      </c>
    </row>
    <row r="16" spans="1:2">
      <c r="A16" s="3">
        <v>2011</v>
      </c>
      <c r="B16" s="20">
        <v>7417.0273333333344</v>
      </c>
    </row>
    <row r="17" spans="1:2">
      <c r="A17" s="3">
        <v>2012</v>
      </c>
      <c r="B17" s="20">
        <v>7786.7576666666673</v>
      </c>
    </row>
    <row r="18" spans="1:2">
      <c r="A18" s="3">
        <v>2013</v>
      </c>
      <c r="B18" s="20">
        <v>7659.1763333333338</v>
      </c>
    </row>
    <row r="19" spans="1:2">
      <c r="A19" s="3">
        <v>2014</v>
      </c>
      <c r="B19" s="20">
        <v>7631.9396666666662</v>
      </c>
    </row>
    <row r="20" spans="1:2">
      <c r="A20" s="3">
        <v>2015</v>
      </c>
      <c r="B20" s="20">
        <v>7688.3530000000001</v>
      </c>
    </row>
    <row r="21" spans="1:2">
      <c r="A21" s="3">
        <v>2016</v>
      </c>
      <c r="B21" s="20">
        <v>7782.6073333333334</v>
      </c>
    </row>
    <row r="22" spans="1:2">
      <c r="A22" s="3">
        <v>2017</v>
      </c>
      <c r="B22" s="20">
        <v>7934.3006666666661</v>
      </c>
    </row>
    <row r="23" spans="1:2">
      <c r="A23" s="3">
        <v>2018</v>
      </c>
      <c r="B23" s="20">
        <v>7739.810333333332</v>
      </c>
    </row>
    <row r="24" spans="1:2">
      <c r="A24" s="3">
        <v>2019</v>
      </c>
      <c r="B24" s="20">
        <v>7560.4739999999993</v>
      </c>
    </row>
    <row r="25" spans="1:2">
      <c r="A25" s="3">
        <v>2020</v>
      </c>
      <c r="B25" s="20">
        <v>6735.5146666666669</v>
      </c>
    </row>
    <row r="26" spans="1:2">
      <c r="A26" s="3">
        <v>2021</v>
      </c>
      <c r="B26" s="20">
        <v>6992.4656666666669</v>
      </c>
    </row>
    <row r="27" spans="1:2">
      <c r="A27" s="3">
        <v>2022</v>
      </c>
      <c r="B27" s="20">
        <v>7253.820333333334</v>
      </c>
    </row>
    <row r="28" spans="1:2">
      <c r="A28" s="3">
        <v>2023</v>
      </c>
      <c r="B28" s="20">
        <v>7112.6033333333335</v>
      </c>
    </row>
    <row r="29" spans="1:2">
      <c r="A29" s="3" t="s">
        <v>66</v>
      </c>
      <c r="B29" s="20">
        <v>7653.0620416666688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07DC-51FD-4BAE-A590-1AA59FAEAAF5}">
  <dimension ref="A3:C20"/>
  <sheetViews>
    <sheetView workbookViewId="0">
      <selection activeCell="AV75" sqref="AV75"/>
    </sheetView>
  </sheetViews>
  <sheetFormatPr defaultRowHeight="15"/>
  <cols>
    <col min="1" max="1" width="19.7109375" bestFit="1" customWidth="1"/>
  </cols>
  <sheetData>
    <row r="3" spans="1:3">
      <c r="A3" s="21"/>
      <c r="B3" s="22"/>
      <c r="C3" s="23"/>
    </row>
    <row r="4" spans="1:3">
      <c r="A4" s="24"/>
      <c r="B4" s="25"/>
      <c r="C4" s="26"/>
    </row>
    <row r="5" spans="1:3">
      <c r="A5" s="24"/>
      <c r="B5" s="25"/>
      <c r="C5" s="26"/>
    </row>
    <row r="6" spans="1:3">
      <c r="A6" s="24"/>
      <c r="B6" s="25"/>
      <c r="C6" s="26"/>
    </row>
    <row r="7" spans="1:3">
      <c r="A7" s="24"/>
      <c r="B7" s="25"/>
      <c r="C7" s="26"/>
    </row>
    <row r="8" spans="1:3">
      <c r="A8" s="24"/>
      <c r="B8" s="25"/>
      <c r="C8" s="26"/>
    </row>
    <row r="9" spans="1:3">
      <c r="A9" s="24"/>
      <c r="B9" s="25"/>
      <c r="C9" s="26"/>
    </row>
    <row r="10" spans="1:3">
      <c r="A10" s="24"/>
      <c r="B10" s="25"/>
      <c r="C10" s="26"/>
    </row>
    <row r="11" spans="1:3">
      <c r="A11" s="24"/>
      <c r="B11" s="25"/>
      <c r="C11" s="26"/>
    </row>
    <row r="12" spans="1:3">
      <c r="A12" s="24"/>
      <c r="B12" s="25"/>
      <c r="C12" s="26"/>
    </row>
    <row r="13" spans="1:3">
      <c r="A13" s="24"/>
      <c r="B13" s="25"/>
      <c r="C13" s="26"/>
    </row>
    <row r="14" spans="1:3">
      <c r="A14" s="24"/>
      <c r="B14" s="25"/>
      <c r="C14" s="26"/>
    </row>
    <row r="15" spans="1:3">
      <c r="A15" s="24"/>
      <c r="B15" s="25"/>
      <c r="C15" s="26"/>
    </row>
    <row r="16" spans="1:3">
      <c r="A16" s="24"/>
      <c r="B16" s="25"/>
      <c r="C16" s="26"/>
    </row>
    <row r="17" spans="1:3">
      <c r="A17" s="24"/>
      <c r="B17" s="25"/>
      <c r="C17" s="26"/>
    </row>
    <row r="18" spans="1:3">
      <c r="A18" s="24"/>
      <c r="B18" s="25"/>
      <c r="C18" s="26"/>
    </row>
    <row r="19" spans="1:3">
      <c r="A19" s="24"/>
      <c r="B19" s="25"/>
      <c r="C19" s="26"/>
    </row>
    <row r="20" spans="1:3">
      <c r="A20" s="27"/>
      <c r="B20" s="28"/>
      <c r="C20"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E736A-1CC5-400D-899A-91FA831F4D91}">
  <dimension ref="A1:Z385"/>
  <sheetViews>
    <sheetView workbookViewId="0">
      <selection activeCell="H42" sqref="A2:Z385"/>
    </sheetView>
  </sheetViews>
  <sheetFormatPr defaultRowHeight="15"/>
  <cols>
    <col min="1" max="1" width="10" customWidth="1"/>
    <col min="3" max="3" width="11.140625" customWidth="1"/>
    <col min="5" max="5" width="15.85546875" customWidth="1"/>
    <col min="6" max="6" width="12.85546875" customWidth="1"/>
    <col min="8" max="8" width="22.85546875" customWidth="1"/>
    <col min="9" max="9" width="20.42578125" customWidth="1"/>
    <col min="10" max="10" width="30.5703125" customWidth="1"/>
    <col min="11" max="11" width="18.7109375" customWidth="1"/>
    <col min="12" max="12" width="32.7109375" customWidth="1"/>
    <col min="13" max="13" width="16.85546875" customWidth="1"/>
    <col min="14" max="14" width="18.85546875" customWidth="1"/>
    <col min="15" max="15" width="21.28515625" customWidth="1"/>
    <col min="16" max="16" width="16.7109375" customWidth="1"/>
    <col min="17" max="17" width="19" customWidth="1"/>
    <col min="18" max="18" width="16.140625" customWidth="1"/>
    <col min="19" max="19" width="18.140625" customWidth="1"/>
    <col min="20" max="20" width="23.5703125" customWidth="1"/>
    <col min="21" max="21" width="24.140625" customWidth="1"/>
    <col min="22" max="22" width="18.140625" customWidth="1"/>
    <col min="23" max="23" width="18.7109375" customWidth="1"/>
    <col min="24" max="24" width="19.42578125" customWidth="1"/>
    <col min="25" max="25" width="27.85546875" customWidth="1"/>
    <col min="26" max="26" width="20.7109375" customWidth="1"/>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idden="1">
      <c r="A2" t="s">
        <v>26</v>
      </c>
      <c r="B2">
        <v>2000</v>
      </c>
      <c r="C2" t="s">
        <v>27</v>
      </c>
      <c r="D2" t="s">
        <v>28</v>
      </c>
      <c r="E2" t="s">
        <v>29</v>
      </c>
      <c r="F2">
        <v>30903894</v>
      </c>
      <c r="G2" s="1">
        <v>208554000000</v>
      </c>
      <c r="H2">
        <v>25.4</v>
      </c>
      <c r="I2">
        <v>25.33</v>
      </c>
      <c r="J2">
        <v>819.63800000000003</v>
      </c>
      <c r="K2">
        <v>-7.0000000000000007E-2</v>
      </c>
      <c r="L2">
        <v>-0.27600000000000002</v>
      </c>
      <c r="M2">
        <v>918.88599999999997</v>
      </c>
      <c r="N2">
        <v>191.01300000000001</v>
      </c>
      <c r="O2">
        <v>29733.675999999999</v>
      </c>
      <c r="P2">
        <v>96.772000000000006</v>
      </c>
      <c r="Q2">
        <v>63.685000000000002</v>
      </c>
      <c r="R2">
        <v>776.73299999999995</v>
      </c>
      <c r="S2">
        <v>103.13200000000001</v>
      </c>
      <c r="T2">
        <v>0.05</v>
      </c>
      <c r="U2">
        <v>0.19700000000000001</v>
      </c>
      <c r="V2">
        <v>25.35</v>
      </c>
      <c r="W2">
        <v>99.802999999999997</v>
      </c>
      <c r="X2">
        <v>9705.7559999999994</v>
      </c>
      <c r="Y2">
        <v>16.22</v>
      </c>
      <c r="Z2">
        <v>54790398570</v>
      </c>
    </row>
    <row r="3" spans="1:26" hidden="1">
      <c r="A3" t="s">
        <v>26</v>
      </c>
      <c r="B3">
        <v>2001</v>
      </c>
      <c r="C3" t="s">
        <v>27</v>
      </c>
      <c r="D3" t="s">
        <v>28</v>
      </c>
      <c r="E3" t="s">
        <v>29</v>
      </c>
      <c r="F3">
        <v>31331226</v>
      </c>
      <c r="G3" s="1">
        <v>223420000000</v>
      </c>
      <c r="H3">
        <v>26.62</v>
      </c>
      <c r="I3">
        <v>26.57</v>
      </c>
      <c r="J3">
        <v>848.03599999999994</v>
      </c>
      <c r="K3">
        <v>-0.05</v>
      </c>
      <c r="L3">
        <v>-0.188</v>
      </c>
      <c r="M3">
        <v>864.72500000000002</v>
      </c>
      <c r="N3">
        <v>197.322</v>
      </c>
      <c r="O3">
        <v>27599.474999999999</v>
      </c>
      <c r="P3">
        <v>96.843999999999994</v>
      </c>
      <c r="Q3">
        <v>63.488</v>
      </c>
      <c r="R3">
        <v>764.68399999999997</v>
      </c>
      <c r="S3">
        <v>106.77500000000001</v>
      </c>
      <c r="T3">
        <v>7.0000000000000007E-2</v>
      </c>
      <c r="U3">
        <v>0.26300000000000001</v>
      </c>
      <c r="V3">
        <v>26.55</v>
      </c>
      <c r="W3">
        <v>99.736999999999995</v>
      </c>
      <c r="X3">
        <v>9920.2289999999994</v>
      </c>
      <c r="Y3">
        <v>16.989999999999998</v>
      </c>
      <c r="Z3">
        <v>59413400924</v>
      </c>
    </row>
    <row r="4" spans="1:26" hidden="1">
      <c r="A4" t="s">
        <v>26</v>
      </c>
      <c r="B4">
        <v>2002</v>
      </c>
      <c r="C4" t="s">
        <v>27</v>
      </c>
      <c r="D4" t="s">
        <v>28</v>
      </c>
      <c r="E4" t="s">
        <v>29</v>
      </c>
      <c r="F4">
        <v>31750832</v>
      </c>
      <c r="G4" s="1">
        <v>245361000000</v>
      </c>
      <c r="H4">
        <v>27.65</v>
      </c>
      <c r="I4">
        <v>27.63</v>
      </c>
      <c r="J4">
        <v>870.21299999999997</v>
      </c>
      <c r="K4">
        <v>-0.02</v>
      </c>
      <c r="L4">
        <v>-7.1999999999999995E-2</v>
      </c>
      <c r="M4">
        <v>889.41600000000005</v>
      </c>
      <c r="N4">
        <v>194.839</v>
      </c>
      <c r="O4">
        <v>28012.365000000002</v>
      </c>
      <c r="P4">
        <v>97.613</v>
      </c>
      <c r="Q4">
        <v>60.52</v>
      </c>
      <c r="R4">
        <v>824.49699999999996</v>
      </c>
      <c r="S4">
        <v>118.39700000000001</v>
      </c>
      <c r="T4">
        <v>0.06</v>
      </c>
      <c r="U4">
        <v>0.217</v>
      </c>
      <c r="V4">
        <v>27.59</v>
      </c>
      <c r="W4">
        <v>99.783000000000001</v>
      </c>
      <c r="X4">
        <v>10139.906999999999</v>
      </c>
      <c r="Y4">
        <v>17.64</v>
      </c>
      <c r="Z4">
        <v>61516103406</v>
      </c>
    </row>
    <row r="5" spans="1:26" hidden="1">
      <c r="A5" t="s">
        <v>26</v>
      </c>
      <c r="B5">
        <v>2003</v>
      </c>
      <c r="C5" t="s">
        <v>27</v>
      </c>
      <c r="D5" t="s">
        <v>28</v>
      </c>
      <c r="E5" t="s">
        <v>29</v>
      </c>
      <c r="F5">
        <v>32175813</v>
      </c>
      <c r="G5" s="1">
        <v>273569000000</v>
      </c>
      <c r="H5">
        <v>29.57</v>
      </c>
      <c r="I5">
        <v>29.58</v>
      </c>
      <c r="J5">
        <v>919.32399999999996</v>
      </c>
      <c r="K5">
        <v>0.01</v>
      </c>
      <c r="L5">
        <v>3.4000000000000002E-2</v>
      </c>
      <c r="M5">
        <v>938.57600000000002</v>
      </c>
      <c r="N5">
        <v>205.93199999999999</v>
      </c>
      <c r="O5">
        <v>29170.23</v>
      </c>
      <c r="P5">
        <v>96.787000000000006</v>
      </c>
      <c r="Q5">
        <v>61.13</v>
      </c>
      <c r="R5">
        <v>918.82799999999997</v>
      </c>
      <c r="S5">
        <v>123.17400000000001</v>
      </c>
      <c r="T5">
        <v>0.26</v>
      </c>
      <c r="U5">
        <v>0.879</v>
      </c>
      <c r="V5">
        <v>29.31</v>
      </c>
      <c r="W5">
        <v>99.120999999999995</v>
      </c>
      <c r="X5">
        <v>10471.285</v>
      </c>
      <c r="Y5">
        <v>18.75</v>
      </c>
      <c r="Z5">
        <v>73482264191</v>
      </c>
    </row>
    <row r="6" spans="1:26" hidden="1">
      <c r="A6" t="s">
        <v>26</v>
      </c>
      <c r="B6">
        <v>2004</v>
      </c>
      <c r="C6" t="s">
        <v>27</v>
      </c>
      <c r="D6" t="s">
        <v>28</v>
      </c>
      <c r="E6" t="s">
        <v>29</v>
      </c>
      <c r="F6">
        <v>32628286</v>
      </c>
      <c r="G6" s="1">
        <v>296774000000</v>
      </c>
      <c r="H6">
        <v>31.25</v>
      </c>
      <c r="I6">
        <v>31.26</v>
      </c>
      <c r="J6">
        <v>958.06399999999996</v>
      </c>
      <c r="K6">
        <v>0.01</v>
      </c>
      <c r="L6">
        <v>3.2000000000000001E-2</v>
      </c>
      <c r="M6">
        <v>920.54899999999998</v>
      </c>
      <c r="N6">
        <v>211.899</v>
      </c>
      <c r="O6">
        <v>28213.23</v>
      </c>
      <c r="P6">
        <v>96.992000000000004</v>
      </c>
      <c r="Q6">
        <v>60.588999999999999</v>
      </c>
      <c r="R6">
        <v>971.69799999999998</v>
      </c>
      <c r="S6">
        <v>128.74700000000001</v>
      </c>
      <c r="T6">
        <v>0.25</v>
      </c>
      <c r="U6">
        <v>0.8</v>
      </c>
      <c r="V6">
        <v>31</v>
      </c>
      <c r="W6">
        <v>99.2</v>
      </c>
      <c r="X6">
        <v>10720.079</v>
      </c>
      <c r="Y6">
        <v>19.829999999999998</v>
      </c>
      <c r="Z6">
        <v>91913680985</v>
      </c>
    </row>
    <row r="7" spans="1:26" hidden="1">
      <c r="A7" t="s">
        <v>26</v>
      </c>
      <c r="B7">
        <v>2005</v>
      </c>
      <c r="C7" t="s">
        <v>27</v>
      </c>
      <c r="D7" t="s">
        <v>28</v>
      </c>
      <c r="E7" t="s">
        <v>29</v>
      </c>
      <c r="F7">
        <v>33109258</v>
      </c>
      <c r="G7" s="1">
        <v>326854000000</v>
      </c>
      <c r="H7">
        <v>33.909999999999997</v>
      </c>
      <c r="I7">
        <v>33.99</v>
      </c>
      <c r="J7">
        <v>1026.6010000000001</v>
      </c>
      <c r="K7">
        <v>0.08</v>
      </c>
      <c r="L7">
        <v>0.23499999999999999</v>
      </c>
      <c r="M7">
        <v>849.11699999999996</v>
      </c>
      <c r="N7">
        <v>223.56</v>
      </c>
      <c r="O7">
        <v>25645.923999999999</v>
      </c>
      <c r="P7">
        <v>96.254999999999995</v>
      </c>
      <c r="Q7">
        <v>61.052999999999997</v>
      </c>
      <c r="R7">
        <v>1005.27</v>
      </c>
      <c r="S7">
        <v>134.21299999999999</v>
      </c>
      <c r="T7">
        <v>0.55000000000000004</v>
      </c>
      <c r="U7">
        <v>1.6220000000000001</v>
      </c>
      <c r="V7">
        <v>33.36</v>
      </c>
      <c r="W7">
        <v>98.378</v>
      </c>
      <c r="X7">
        <v>11062.512000000001</v>
      </c>
      <c r="Y7">
        <v>21.34</v>
      </c>
      <c r="Z7" s="1">
        <v>107047000000</v>
      </c>
    </row>
    <row r="8" spans="1:26" hidden="1">
      <c r="A8" t="s">
        <v>26</v>
      </c>
      <c r="B8">
        <v>2006</v>
      </c>
      <c r="C8" t="s">
        <v>27</v>
      </c>
      <c r="D8" t="s">
        <v>28</v>
      </c>
      <c r="E8" t="s">
        <v>29</v>
      </c>
      <c r="F8">
        <v>33623505</v>
      </c>
      <c r="G8" s="1">
        <v>345705000000</v>
      </c>
      <c r="H8">
        <v>35.229999999999997</v>
      </c>
      <c r="I8">
        <v>35.31</v>
      </c>
      <c r="J8">
        <v>1050.1579999999999</v>
      </c>
      <c r="K8">
        <v>0.08</v>
      </c>
      <c r="L8">
        <v>0.22700000000000001</v>
      </c>
      <c r="M8">
        <v>812.995</v>
      </c>
      <c r="N8">
        <v>228.49700000000001</v>
      </c>
      <c r="O8">
        <v>24179.363000000001</v>
      </c>
      <c r="P8">
        <v>97.247</v>
      </c>
      <c r="Q8">
        <v>60.261000000000003</v>
      </c>
      <c r="R8">
        <v>1002.529</v>
      </c>
      <c r="S8">
        <v>139.846</v>
      </c>
      <c r="T8">
        <v>0.22</v>
      </c>
      <c r="U8">
        <v>0.624</v>
      </c>
      <c r="V8">
        <v>35.01</v>
      </c>
      <c r="W8">
        <v>99.376000000000005</v>
      </c>
      <c r="X8">
        <v>11278.422</v>
      </c>
      <c r="Y8">
        <v>22.4</v>
      </c>
      <c r="Z8" s="1">
        <v>123084000000</v>
      </c>
    </row>
    <row r="9" spans="1:26" hidden="1">
      <c r="A9" t="s">
        <v>26</v>
      </c>
      <c r="B9">
        <v>2007</v>
      </c>
      <c r="C9" t="s">
        <v>27</v>
      </c>
      <c r="D9" t="s">
        <v>28</v>
      </c>
      <c r="E9" t="s">
        <v>29</v>
      </c>
      <c r="F9">
        <v>34189420</v>
      </c>
      <c r="G9" s="1">
        <v>371665000000</v>
      </c>
      <c r="H9">
        <v>37.19</v>
      </c>
      <c r="I9">
        <v>37.200000000000003</v>
      </c>
      <c r="J9">
        <v>1088.056</v>
      </c>
      <c r="K9">
        <v>0.01</v>
      </c>
      <c r="L9">
        <v>2.7E-2</v>
      </c>
      <c r="M9">
        <v>816.46</v>
      </c>
      <c r="N9">
        <v>233.80699999999999</v>
      </c>
      <c r="O9">
        <v>23880.482</v>
      </c>
      <c r="P9">
        <v>97.284000000000006</v>
      </c>
      <c r="Q9">
        <v>58.51</v>
      </c>
      <c r="R9">
        <v>1005.7859999999999</v>
      </c>
      <c r="S9">
        <v>156.38999999999999</v>
      </c>
      <c r="T9">
        <v>0.22</v>
      </c>
      <c r="U9">
        <v>0.59199999999999997</v>
      </c>
      <c r="V9">
        <v>36.97</v>
      </c>
      <c r="W9">
        <v>99.408000000000001</v>
      </c>
      <c r="X9">
        <v>11688.989</v>
      </c>
      <c r="Y9">
        <v>23.65</v>
      </c>
      <c r="Z9" s="1">
        <v>142483000000</v>
      </c>
    </row>
    <row r="10" spans="1:26" hidden="1">
      <c r="A10" t="s">
        <v>26</v>
      </c>
      <c r="B10">
        <v>2008</v>
      </c>
      <c r="C10" t="s">
        <v>27</v>
      </c>
      <c r="D10" t="s">
        <v>28</v>
      </c>
      <c r="E10" t="s">
        <v>29</v>
      </c>
      <c r="F10">
        <v>34816963</v>
      </c>
      <c r="G10" s="1">
        <v>395659000000</v>
      </c>
      <c r="H10">
        <v>40.229999999999997</v>
      </c>
      <c r="I10">
        <v>40.18</v>
      </c>
      <c r="J10">
        <v>1154.0350000000001</v>
      </c>
      <c r="K10">
        <v>-0.05</v>
      </c>
      <c r="L10">
        <v>-0.124</v>
      </c>
      <c r="M10">
        <v>826.00800000000004</v>
      </c>
      <c r="N10">
        <v>244.042</v>
      </c>
      <c r="O10">
        <v>23724.294999999998</v>
      </c>
      <c r="P10">
        <v>97.34</v>
      </c>
      <c r="Q10">
        <v>57.624000000000002</v>
      </c>
      <c r="R10">
        <v>985.77099999999996</v>
      </c>
      <c r="S10">
        <v>169.916</v>
      </c>
      <c r="T10">
        <v>0.28000000000000003</v>
      </c>
      <c r="U10">
        <v>0.69599999999999995</v>
      </c>
      <c r="V10">
        <v>39.950000000000003</v>
      </c>
      <c r="W10">
        <v>99.304000000000002</v>
      </c>
      <c r="X10">
        <v>12165.245999999999</v>
      </c>
      <c r="Y10">
        <v>25.56</v>
      </c>
      <c r="Z10" s="1">
        <v>180384000000</v>
      </c>
    </row>
    <row r="11" spans="1:26" hidden="1">
      <c r="A11" t="s">
        <v>26</v>
      </c>
      <c r="B11">
        <v>2009</v>
      </c>
      <c r="C11" t="s">
        <v>27</v>
      </c>
      <c r="D11" t="s">
        <v>28</v>
      </c>
      <c r="E11" t="s">
        <v>29</v>
      </c>
      <c r="F11">
        <v>35490442</v>
      </c>
      <c r="G11" s="1">
        <v>418248000000</v>
      </c>
      <c r="H11">
        <v>38.5</v>
      </c>
      <c r="I11">
        <v>38.47</v>
      </c>
      <c r="J11">
        <v>1083.954</v>
      </c>
      <c r="K11">
        <v>-0.03</v>
      </c>
      <c r="L11">
        <v>-7.8E-2</v>
      </c>
      <c r="M11">
        <v>765.66899999999998</v>
      </c>
      <c r="N11">
        <v>262.11799999999999</v>
      </c>
      <c r="O11">
        <v>21573.942999999999</v>
      </c>
      <c r="P11">
        <v>97.635999999999996</v>
      </c>
      <c r="Q11">
        <v>58.404000000000003</v>
      </c>
      <c r="R11">
        <v>898.23099999999999</v>
      </c>
      <c r="S11">
        <v>180.13399999999999</v>
      </c>
      <c r="T11">
        <v>0.3</v>
      </c>
      <c r="U11">
        <v>0.77900000000000003</v>
      </c>
      <c r="V11">
        <v>38.200000000000003</v>
      </c>
      <c r="W11">
        <v>99.221000000000004</v>
      </c>
      <c r="X11">
        <v>12647.33</v>
      </c>
      <c r="Y11">
        <v>24.43</v>
      </c>
      <c r="Z11" s="1">
        <v>150317000000</v>
      </c>
    </row>
    <row r="12" spans="1:26" hidden="1">
      <c r="A12" t="s">
        <v>26</v>
      </c>
      <c r="B12">
        <v>2010</v>
      </c>
      <c r="C12" t="s">
        <v>27</v>
      </c>
      <c r="D12" t="s">
        <v>28</v>
      </c>
      <c r="E12" t="s">
        <v>29</v>
      </c>
      <c r="F12">
        <v>36188237</v>
      </c>
      <c r="G12" s="1">
        <v>450706000000</v>
      </c>
      <c r="H12">
        <v>45.73</v>
      </c>
      <c r="I12">
        <v>45.66</v>
      </c>
      <c r="J12">
        <v>1261.7360000000001</v>
      </c>
      <c r="K12">
        <v>-7.0000000000000007E-2</v>
      </c>
      <c r="L12">
        <v>-0.153</v>
      </c>
      <c r="M12">
        <v>773.96600000000001</v>
      </c>
      <c r="N12">
        <v>253.27199999999999</v>
      </c>
      <c r="O12">
        <v>21387.213</v>
      </c>
      <c r="P12">
        <v>97.528999999999996</v>
      </c>
      <c r="Q12">
        <v>57.698</v>
      </c>
      <c r="R12">
        <v>858.00300000000004</v>
      </c>
      <c r="S12">
        <v>181.61199999999999</v>
      </c>
      <c r="T12">
        <v>0.17</v>
      </c>
      <c r="U12">
        <v>0.372</v>
      </c>
      <c r="V12">
        <v>45.56</v>
      </c>
      <c r="W12">
        <v>99.628</v>
      </c>
      <c r="X12">
        <v>12130.873</v>
      </c>
      <c r="Y12">
        <v>29.13</v>
      </c>
      <c r="Z12" s="1">
        <v>177785000000</v>
      </c>
    </row>
    <row r="13" spans="1:26" hidden="1">
      <c r="A13" t="s">
        <v>26</v>
      </c>
      <c r="B13">
        <v>2011</v>
      </c>
      <c r="C13" t="s">
        <v>27</v>
      </c>
      <c r="D13" t="s">
        <v>28</v>
      </c>
      <c r="E13" t="s">
        <v>29</v>
      </c>
      <c r="F13">
        <v>36903374</v>
      </c>
      <c r="G13" s="1">
        <v>482029000000</v>
      </c>
      <c r="H13">
        <v>51.22</v>
      </c>
      <c r="I13">
        <v>51.08</v>
      </c>
      <c r="J13">
        <v>1384.155</v>
      </c>
      <c r="K13">
        <v>-0.14000000000000001</v>
      </c>
      <c r="L13">
        <v>-0.27400000000000002</v>
      </c>
      <c r="M13">
        <v>795.98699999999997</v>
      </c>
      <c r="N13">
        <v>267.97000000000003</v>
      </c>
      <c r="O13">
        <v>21569.504000000001</v>
      </c>
      <c r="P13">
        <v>96.935000000000002</v>
      </c>
      <c r="Q13">
        <v>57.7</v>
      </c>
      <c r="R13">
        <v>833.58</v>
      </c>
      <c r="S13">
        <v>192.22800000000001</v>
      </c>
      <c r="T13">
        <v>0.5</v>
      </c>
      <c r="U13">
        <v>0.97599999999999998</v>
      </c>
      <c r="V13">
        <v>50.72</v>
      </c>
      <c r="W13">
        <v>99.024000000000001</v>
      </c>
      <c r="X13">
        <v>12586.607</v>
      </c>
      <c r="Y13">
        <v>32.44</v>
      </c>
      <c r="Z13" s="1">
        <v>218332000000</v>
      </c>
    </row>
    <row r="14" spans="1:26" hidden="1">
      <c r="A14" t="s">
        <v>26</v>
      </c>
      <c r="B14">
        <v>2012</v>
      </c>
      <c r="C14" t="s">
        <v>27</v>
      </c>
      <c r="D14" t="s">
        <v>28</v>
      </c>
      <c r="E14" t="s">
        <v>29</v>
      </c>
      <c r="F14">
        <v>37646165</v>
      </c>
      <c r="G14" s="1">
        <v>498418000000</v>
      </c>
      <c r="H14">
        <v>57.4</v>
      </c>
      <c r="I14">
        <v>57.35</v>
      </c>
      <c r="J14">
        <v>1523.396</v>
      </c>
      <c r="K14">
        <v>-0.05</v>
      </c>
      <c r="L14">
        <v>-8.6999999999999994E-2</v>
      </c>
      <c r="M14">
        <v>784.43799999999999</v>
      </c>
      <c r="N14">
        <v>298.74099999999999</v>
      </c>
      <c r="O14">
        <v>20837.115000000002</v>
      </c>
      <c r="P14">
        <v>97.072999999999993</v>
      </c>
      <c r="Q14">
        <v>58.853000000000002</v>
      </c>
      <c r="R14">
        <v>781.67600000000004</v>
      </c>
      <c r="S14">
        <v>204.39500000000001</v>
      </c>
      <c r="T14">
        <v>0.62</v>
      </c>
      <c r="U14">
        <v>1.08</v>
      </c>
      <c r="V14">
        <v>56.78</v>
      </c>
      <c r="W14">
        <v>98.92</v>
      </c>
      <c r="X14">
        <v>13485.353999999999</v>
      </c>
      <c r="Y14">
        <v>36.32</v>
      </c>
      <c r="Z14" s="1">
        <v>227144000000</v>
      </c>
    </row>
    <row r="15" spans="1:26" hidden="1">
      <c r="A15" t="s">
        <v>26</v>
      </c>
      <c r="B15">
        <v>2013</v>
      </c>
      <c r="C15" t="s">
        <v>27</v>
      </c>
      <c r="D15" t="s">
        <v>28</v>
      </c>
      <c r="E15" t="s">
        <v>29</v>
      </c>
      <c r="F15">
        <v>38414176</v>
      </c>
      <c r="G15" s="1">
        <v>512373000000</v>
      </c>
      <c r="H15">
        <v>59.89</v>
      </c>
      <c r="I15">
        <v>59.8</v>
      </c>
      <c r="J15">
        <v>1556.7170000000001</v>
      </c>
      <c r="K15">
        <v>-0.09</v>
      </c>
      <c r="L15">
        <v>-0.151</v>
      </c>
      <c r="M15">
        <v>793.38900000000001</v>
      </c>
      <c r="N15">
        <v>321.21499999999997</v>
      </c>
      <c r="O15">
        <v>20653.541000000001</v>
      </c>
      <c r="P15">
        <v>97.945999999999998</v>
      </c>
      <c r="Q15">
        <v>59.822000000000003</v>
      </c>
      <c r="R15">
        <v>753.43799999999999</v>
      </c>
      <c r="S15">
        <v>213.57599999999999</v>
      </c>
      <c r="T15">
        <v>0.33</v>
      </c>
      <c r="U15">
        <v>0.55100000000000005</v>
      </c>
      <c r="V15">
        <v>59.56</v>
      </c>
      <c r="W15">
        <v>99.448999999999998</v>
      </c>
      <c r="X15">
        <v>13978.61</v>
      </c>
      <c r="Y15">
        <v>38.090000000000003</v>
      </c>
      <c r="Z15" s="1">
        <v>229701000000</v>
      </c>
    </row>
    <row r="16" spans="1:26" hidden="1">
      <c r="A16" t="s">
        <v>26</v>
      </c>
      <c r="B16">
        <v>2014</v>
      </c>
      <c r="C16" t="s">
        <v>27</v>
      </c>
      <c r="D16" t="s">
        <v>28</v>
      </c>
      <c r="E16" t="s">
        <v>29</v>
      </c>
      <c r="F16">
        <v>39205035</v>
      </c>
      <c r="G16" s="1">
        <v>531844000000</v>
      </c>
      <c r="H16">
        <v>64.27</v>
      </c>
      <c r="I16">
        <v>64.08</v>
      </c>
      <c r="J16">
        <v>1634.4839999999999</v>
      </c>
      <c r="K16">
        <v>-0.19</v>
      </c>
      <c r="L16">
        <v>-0.29699999999999999</v>
      </c>
      <c r="M16">
        <v>801.72400000000005</v>
      </c>
      <c r="N16">
        <v>360.91800000000001</v>
      </c>
      <c r="O16">
        <v>20449.516</v>
      </c>
      <c r="P16">
        <v>98.569000000000003</v>
      </c>
      <c r="Q16">
        <v>61.634999999999998</v>
      </c>
      <c r="R16">
        <v>799.80700000000002</v>
      </c>
      <c r="S16">
        <v>221.92500000000001</v>
      </c>
      <c r="T16">
        <v>0.25</v>
      </c>
      <c r="U16">
        <v>0.38900000000000001</v>
      </c>
      <c r="V16">
        <v>64.02</v>
      </c>
      <c r="W16">
        <v>99.611000000000004</v>
      </c>
      <c r="X16">
        <v>14937.195</v>
      </c>
      <c r="Y16">
        <v>40.94</v>
      </c>
      <c r="Z16" s="1">
        <v>238943000000</v>
      </c>
    </row>
    <row r="17" spans="1:26" hidden="1">
      <c r="A17" t="s">
        <v>26</v>
      </c>
      <c r="B17">
        <v>2015</v>
      </c>
      <c r="C17" t="s">
        <v>27</v>
      </c>
      <c r="D17" t="s">
        <v>28</v>
      </c>
      <c r="E17" t="s">
        <v>29</v>
      </c>
      <c r="F17">
        <v>40019528</v>
      </c>
      <c r="G17" s="1">
        <v>551522000000</v>
      </c>
      <c r="H17">
        <v>68.84</v>
      </c>
      <c r="I17">
        <v>68.81</v>
      </c>
      <c r="J17">
        <v>1719.4110000000001</v>
      </c>
      <c r="K17">
        <v>-0.03</v>
      </c>
      <c r="L17">
        <v>-4.3999999999999997E-2</v>
      </c>
      <c r="M17">
        <v>814.11099999999999</v>
      </c>
      <c r="N17">
        <v>379.22500000000002</v>
      </c>
      <c r="O17">
        <v>20342.853999999999</v>
      </c>
      <c r="P17">
        <v>98.3</v>
      </c>
      <c r="Q17">
        <v>61.414999999999999</v>
      </c>
      <c r="R17">
        <v>781.827</v>
      </c>
      <c r="S17">
        <v>236.148</v>
      </c>
      <c r="T17">
        <v>0.22</v>
      </c>
      <c r="U17">
        <v>0.32</v>
      </c>
      <c r="V17">
        <v>68.62</v>
      </c>
      <c r="W17">
        <v>99.68</v>
      </c>
      <c r="X17">
        <v>15430.422</v>
      </c>
      <c r="Y17">
        <v>43.88</v>
      </c>
      <c r="Z17" s="1">
        <v>187494000000</v>
      </c>
    </row>
    <row r="18" spans="1:26" hidden="1">
      <c r="A18" t="s">
        <v>26</v>
      </c>
      <c r="B18">
        <v>2016</v>
      </c>
      <c r="C18" t="s">
        <v>27</v>
      </c>
      <c r="D18" t="s">
        <v>28</v>
      </c>
      <c r="E18" t="s">
        <v>29</v>
      </c>
      <c r="F18">
        <v>40850719</v>
      </c>
      <c r="G18" s="1">
        <v>569170000000</v>
      </c>
      <c r="H18">
        <v>71.040000000000006</v>
      </c>
      <c r="I18">
        <v>70.790000000000006</v>
      </c>
      <c r="J18">
        <v>1732.895</v>
      </c>
      <c r="K18">
        <v>-0.25</v>
      </c>
      <c r="L18">
        <v>-0.35299999999999998</v>
      </c>
      <c r="M18">
        <v>913.923</v>
      </c>
      <c r="N18">
        <v>385.96199999999999</v>
      </c>
      <c r="O18">
        <v>22372.254000000001</v>
      </c>
      <c r="P18">
        <v>98.1</v>
      </c>
      <c r="Q18">
        <v>62.561</v>
      </c>
      <c r="R18">
        <v>795.69</v>
      </c>
      <c r="S18">
        <v>229.56399999999999</v>
      </c>
      <c r="T18">
        <v>0.34</v>
      </c>
      <c r="U18">
        <v>0.47899999999999998</v>
      </c>
      <c r="V18">
        <v>70.7</v>
      </c>
      <c r="W18">
        <v>99.521000000000001</v>
      </c>
      <c r="X18">
        <v>15103.672</v>
      </c>
      <c r="Y18">
        <v>45.21</v>
      </c>
      <c r="Z18" s="1">
        <v>180764000000</v>
      </c>
    </row>
    <row r="19" spans="1:26" hidden="1">
      <c r="A19" t="s">
        <v>26</v>
      </c>
      <c r="B19">
        <v>2017</v>
      </c>
      <c r="C19" t="s">
        <v>27</v>
      </c>
      <c r="D19" t="s">
        <v>28</v>
      </c>
      <c r="E19" t="s">
        <v>29</v>
      </c>
      <c r="F19">
        <v>41689302</v>
      </c>
      <c r="G19" s="1">
        <v>577139000000</v>
      </c>
      <c r="H19">
        <v>76.069999999999993</v>
      </c>
      <c r="I19">
        <v>75.73</v>
      </c>
      <c r="J19">
        <v>1816.5329999999999</v>
      </c>
      <c r="K19">
        <v>-0.34</v>
      </c>
      <c r="L19">
        <v>-0.44900000000000001</v>
      </c>
      <c r="M19">
        <v>929.76499999999999</v>
      </c>
      <c r="N19">
        <v>394.625</v>
      </c>
      <c r="O19">
        <v>22302.254000000001</v>
      </c>
      <c r="P19">
        <v>98.671999999999997</v>
      </c>
      <c r="Q19">
        <v>63.271000000000001</v>
      </c>
      <c r="R19">
        <v>775.11599999999999</v>
      </c>
      <c r="S19">
        <v>225.512</v>
      </c>
      <c r="T19">
        <v>0.64</v>
      </c>
      <c r="U19">
        <v>0.84099999999999997</v>
      </c>
      <c r="V19">
        <v>75.430000000000007</v>
      </c>
      <c r="W19">
        <v>99.159000000000006</v>
      </c>
      <c r="X19">
        <v>14962.942999999999</v>
      </c>
      <c r="Y19">
        <v>48.24</v>
      </c>
      <c r="Z19" s="1">
        <v>189881000000</v>
      </c>
    </row>
    <row r="20" spans="1:26" hidden="1">
      <c r="A20" t="s">
        <v>26</v>
      </c>
      <c r="B20">
        <v>2018</v>
      </c>
      <c r="C20" t="s">
        <v>27</v>
      </c>
      <c r="D20" t="s">
        <v>28</v>
      </c>
      <c r="E20" t="s">
        <v>29</v>
      </c>
      <c r="F20">
        <v>42505033</v>
      </c>
      <c r="G20" s="1">
        <v>584064000000</v>
      </c>
      <c r="H20">
        <v>76.75</v>
      </c>
      <c r="I20">
        <v>76.66</v>
      </c>
      <c r="J20">
        <v>1803.5509999999999</v>
      </c>
      <c r="K20">
        <v>-0.09</v>
      </c>
      <c r="L20">
        <v>-0.11700000000000001</v>
      </c>
      <c r="M20">
        <v>938.43799999999999</v>
      </c>
      <c r="N20">
        <v>434.08800000000002</v>
      </c>
      <c r="O20">
        <v>22078.268</v>
      </c>
      <c r="P20">
        <v>98.370999999999995</v>
      </c>
      <c r="Q20">
        <v>64.837000000000003</v>
      </c>
      <c r="R20">
        <v>759.81100000000004</v>
      </c>
      <c r="S20">
        <v>227.786</v>
      </c>
      <c r="T20">
        <v>0.82</v>
      </c>
      <c r="U20">
        <v>1.0680000000000001</v>
      </c>
      <c r="V20">
        <v>75.930000000000007</v>
      </c>
      <c r="W20">
        <v>98.932000000000002</v>
      </c>
      <c r="X20">
        <v>15753.894</v>
      </c>
      <c r="Y20">
        <v>48.56</v>
      </c>
      <c r="Z20" s="1">
        <v>194554000000</v>
      </c>
    </row>
    <row r="21" spans="1:26" hidden="1">
      <c r="A21" t="s">
        <v>26</v>
      </c>
      <c r="B21">
        <v>2019</v>
      </c>
      <c r="C21" t="s">
        <v>27</v>
      </c>
      <c r="D21" t="s">
        <v>28</v>
      </c>
      <c r="E21" t="s">
        <v>29</v>
      </c>
      <c r="F21">
        <v>43294551</v>
      </c>
      <c r="G21" s="1">
        <v>589905000000</v>
      </c>
      <c r="H21">
        <v>81.61</v>
      </c>
      <c r="I21">
        <v>81.47</v>
      </c>
      <c r="J21">
        <v>1881.761</v>
      </c>
      <c r="K21">
        <v>-0.14000000000000001</v>
      </c>
      <c r="L21">
        <v>-0.17199999999999999</v>
      </c>
      <c r="M21">
        <v>869.52300000000002</v>
      </c>
      <c r="N21">
        <v>450.54599999999999</v>
      </c>
      <c r="O21">
        <v>20083.879000000001</v>
      </c>
      <c r="P21">
        <v>98.468000000000004</v>
      </c>
      <c r="Q21">
        <v>64.899000000000001</v>
      </c>
      <c r="R21">
        <v>748.15800000000002</v>
      </c>
      <c r="S21">
        <v>236.95099999999999</v>
      </c>
      <c r="T21">
        <v>0.87</v>
      </c>
      <c r="U21">
        <v>1.0660000000000001</v>
      </c>
      <c r="V21">
        <v>80.739999999999995</v>
      </c>
      <c r="W21">
        <v>98.933999999999997</v>
      </c>
      <c r="X21">
        <v>16037.789000000001</v>
      </c>
      <c r="Y21">
        <v>51.64</v>
      </c>
      <c r="Z21" s="1">
        <v>193460000000</v>
      </c>
    </row>
    <row r="22" spans="1:26" hidden="1">
      <c r="A22" t="s">
        <v>26</v>
      </c>
      <c r="B22">
        <v>2020</v>
      </c>
      <c r="C22" t="s">
        <v>27</v>
      </c>
      <c r="D22" t="s">
        <v>28</v>
      </c>
      <c r="E22" t="s">
        <v>29</v>
      </c>
      <c r="F22">
        <v>44042094</v>
      </c>
      <c r="G22" s="1">
        <v>559820000000</v>
      </c>
      <c r="H22">
        <v>79.37</v>
      </c>
      <c r="I22">
        <v>79.31</v>
      </c>
      <c r="J22">
        <v>1800.777</v>
      </c>
      <c r="K22">
        <v>-0.06</v>
      </c>
      <c r="L22">
        <v>-7.5999999999999998E-2</v>
      </c>
      <c r="M22">
        <v>814.24599999999998</v>
      </c>
      <c r="N22">
        <v>433.5</v>
      </c>
      <c r="O22">
        <v>18487.907999999999</v>
      </c>
      <c r="P22">
        <v>98.438000000000002</v>
      </c>
      <c r="Q22">
        <v>66.817999999999998</v>
      </c>
      <c r="R22">
        <v>670.17899999999997</v>
      </c>
      <c r="S22">
        <v>211.92500000000001</v>
      </c>
      <c r="T22">
        <v>0.88</v>
      </c>
      <c r="U22">
        <v>1.109</v>
      </c>
      <c r="V22">
        <v>78.489999999999995</v>
      </c>
      <c r="W22">
        <v>98.891000000000005</v>
      </c>
      <c r="X22">
        <v>14733.603999999999</v>
      </c>
      <c r="Y22">
        <v>50.21</v>
      </c>
      <c r="Z22" s="1">
        <v>164873000000</v>
      </c>
    </row>
    <row r="23" spans="1:26" hidden="1">
      <c r="A23" t="s">
        <v>26</v>
      </c>
      <c r="B23">
        <v>2021</v>
      </c>
      <c r="C23" t="s">
        <v>27</v>
      </c>
      <c r="D23" t="s">
        <v>28</v>
      </c>
      <c r="E23" t="s">
        <v>29</v>
      </c>
      <c r="F23">
        <v>44761099</v>
      </c>
      <c r="G23" s="1">
        <v>578854000000</v>
      </c>
      <c r="H23">
        <v>85.6</v>
      </c>
      <c r="I23">
        <v>84.45</v>
      </c>
      <c r="J23">
        <v>1886.683</v>
      </c>
      <c r="K23">
        <v>-1.1499999999999999</v>
      </c>
      <c r="L23">
        <v>-1.3620000000000001</v>
      </c>
      <c r="M23">
        <v>1010.981</v>
      </c>
      <c r="N23">
        <v>481.529</v>
      </c>
      <c r="O23">
        <v>22586.155999999999</v>
      </c>
      <c r="P23">
        <v>98.620999999999995</v>
      </c>
      <c r="Q23">
        <v>68.058999999999997</v>
      </c>
      <c r="R23">
        <v>676.86599999999999</v>
      </c>
      <c r="S23">
        <v>221.20400000000001</v>
      </c>
      <c r="T23">
        <v>0.81</v>
      </c>
      <c r="U23">
        <v>0.94599999999999995</v>
      </c>
      <c r="V23">
        <v>84.79</v>
      </c>
      <c r="W23">
        <v>99.054000000000002</v>
      </c>
      <c r="X23">
        <v>15808.98</v>
      </c>
      <c r="Y23">
        <v>54.23</v>
      </c>
      <c r="Z23" s="1">
        <v>186231000000</v>
      </c>
    </row>
    <row r="24" spans="1:26" hidden="1">
      <c r="A24" t="s">
        <v>26</v>
      </c>
      <c r="B24">
        <v>2022</v>
      </c>
      <c r="C24" t="s">
        <v>27</v>
      </c>
      <c r="D24" t="s">
        <v>28</v>
      </c>
      <c r="E24" t="s">
        <v>29</v>
      </c>
      <c r="F24">
        <v>45477391</v>
      </c>
      <c r="G24" s="1">
        <v>595820000000</v>
      </c>
      <c r="H24">
        <v>91.47</v>
      </c>
      <c r="I24">
        <v>88.9</v>
      </c>
      <c r="J24">
        <v>1954.818</v>
      </c>
      <c r="K24">
        <v>-2.57</v>
      </c>
      <c r="L24">
        <v>-2.891</v>
      </c>
      <c r="M24">
        <v>976.32100000000003</v>
      </c>
      <c r="N24">
        <v>503.387</v>
      </c>
      <c r="O24">
        <v>21468.282999999999</v>
      </c>
      <c r="P24">
        <v>98.632999999999996</v>
      </c>
      <c r="Q24">
        <v>68.567999999999998</v>
      </c>
      <c r="R24">
        <v>721.82799999999997</v>
      </c>
      <c r="S24">
        <v>226.91</v>
      </c>
      <c r="T24">
        <v>0.86</v>
      </c>
      <c r="U24">
        <v>0.94</v>
      </c>
      <c r="V24">
        <v>90.61</v>
      </c>
      <c r="W24">
        <v>99.06</v>
      </c>
      <c r="X24">
        <v>16145.337</v>
      </c>
      <c r="Y24">
        <v>57.96</v>
      </c>
      <c r="Z24" s="1">
        <v>225582000000</v>
      </c>
    </row>
    <row r="25" spans="1:26" hidden="1">
      <c r="A25" t="s">
        <v>26</v>
      </c>
      <c r="B25">
        <v>2023</v>
      </c>
      <c r="C25" t="s">
        <v>27</v>
      </c>
      <c r="D25" t="s">
        <v>28</v>
      </c>
      <c r="E25" t="s">
        <v>29</v>
      </c>
      <c r="F25">
        <v>46164222</v>
      </c>
      <c r="G25" s="1">
        <v>755752000000</v>
      </c>
      <c r="H25">
        <v>95.88</v>
      </c>
      <c r="I25">
        <v>93.44</v>
      </c>
      <c r="J25">
        <v>2024.078</v>
      </c>
      <c r="K25">
        <v>-2.44</v>
      </c>
      <c r="L25">
        <v>-2.6110000000000002</v>
      </c>
      <c r="M25">
        <v>1015.264</v>
      </c>
      <c r="N25">
        <v>542.33000000000004</v>
      </c>
      <c r="O25">
        <v>21992.449000000001</v>
      </c>
      <c r="P25">
        <v>98.706999999999994</v>
      </c>
      <c r="Q25">
        <v>69.138000000000005</v>
      </c>
      <c r="R25">
        <v>732.76</v>
      </c>
      <c r="S25">
        <v>238.203</v>
      </c>
      <c r="T25">
        <v>0.91</v>
      </c>
      <c r="U25">
        <v>0.94899999999999995</v>
      </c>
      <c r="V25">
        <v>94.97</v>
      </c>
      <c r="W25">
        <v>99.051000000000002</v>
      </c>
      <c r="X25">
        <v>16994.377</v>
      </c>
      <c r="Y25">
        <v>60.75</v>
      </c>
      <c r="Z25" s="1">
        <v>247924000000</v>
      </c>
    </row>
    <row r="26" spans="1:26">
      <c r="A26" t="s">
        <v>30</v>
      </c>
      <c r="B26">
        <v>2000</v>
      </c>
      <c r="C26" t="s">
        <v>31</v>
      </c>
      <c r="D26" t="s">
        <v>28</v>
      </c>
      <c r="E26" t="s">
        <v>32</v>
      </c>
      <c r="F26">
        <v>73083287</v>
      </c>
      <c r="G26" s="1">
        <v>444250000000</v>
      </c>
      <c r="H26">
        <v>73.319999999999993</v>
      </c>
      <c r="I26">
        <v>73.17</v>
      </c>
      <c r="J26">
        <v>1001.186</v>
      </c>
      <c r="K26">
        <v>-0.15</v>
      </c>
      <c r="L26">
        <v>-0.20499999999999999</v>
      </c>
      <c r="M26">
        <v>202.125</v>
      </c>
      <c r="N26">
        <v>192.5</v>
      </c>
      <c r="O26">
        <v>2765.68</v>
      </c>
      <c r="P26">
        <v>57.542000000000002</v>
      </c>
      <c r="Q26">
        <v>34.012</v>
      </c>
      <c r="R26">
        <v>452.60500000000002</v>
      </c>
      <c r="S26">
        <v>323.75900000000001</v>
      </c>
      <c r="T26">
        <v>14.26</v>
      </c>
      <c r="U26">
        <v>19.449000000000002</v>
      </c>
      <c r="V26">
        <v>59.06</v>
      </c>
      <c r="W26">
        <v>80.551000000000002</v>
      </c>
      <c r="X26">
        <v>7779.2539999999999</v>
      </c>
      <c r="Y26">
        <v>38.54</v>
      </c>
      <c r="Z26">
        <v>99838543960</v>
      </c>
    </row>
    <row r="27" spans="1:26">
      <c r="A27" t="s">
        <v>30</v>
      </c>
      <c r="B27">
        <v>2001</v>
      </c>
      <c r="C27" t="s">
        <v>31</v>
      </c>
      <c r="D27" t="s">
        <v>28</v>
      </c>
      <c r="E27" t="s">
        <v>32</v>
      </c>
      <c r="F27">
        <v>74652035</v>
      </c>
      <c r="G27" s="1">
        <v>475679000000</v>
      </c>
      <c r="H27">
        <v>80.709999999999994</v>
      </c>
      <c r="I27">
        <v>80.5</v>
      </c>
      <c r="J27">
        <v>1078.336</v>
      </c>
      <c r="K27">
        <v>-0.21</v>
      </c>
      <c r="L27">
        <v>-0.26100000000000001</v>
      </c>
      <c r="M27">
        <v>242.55</v>
      </c>
      <c r="N27">
        <v>235.81200000000001</v>
      </c>
      <c r="O27">
        <v>3249.0740000000001</v>
      </c>
      <c r="P27">
        <v>60.055</v>
      </c>
      <c r="Q27">
        <v>39.917000000000002</v>
      </c>
      <c r="R27">
        <v>437.28899999999999</v>
      </c>
      <c r="S27">
        <v>305.73399999999998</v>
      </c>
      <c r="T27">
        <v>14.59</v>
      </c>
      <c r="U27">
        <v>18.077000000000002</v>
      </c>
      <c r="V27">
        <v>66.12</v>
      </c>
      <c r="W27">
        <v>81.923000000000002</v>
      </c>
      <c r="X27">
        <v>7947.7250000000004</v>
      </c>
      <c r="Y27">
        <v>43.08</v>
      </c>
      <c r="Z27">
        <v>96684636119</v>
      </c>
    </row>
    <row r="28" spans="1:26">
      <c r="A28" t="s">
        <v>30</v>
      </c>
      <c r="B28">
        <v>2002</v>
      </c>
      <c r="C28" t="s">
        <v>31</v>
      </c>
      <c r="D28" t="s">
        <v>28</v>
      </c>
      <c r="E28" t="s">
        <v>32</v>
      </c>
      <c r="F28">
        <v>76239140</v>
      </c>
      <c r="G28" s="1">
        <v>501912000000</v>
      </c>
      <c r="H28">
        <v>86.23</v>
      </c>
      <c r="I28">
        <v>85.45</v>
      </c>
      <c r="J28">
        <v>1120.8150000000001</v>
      </c>
      <c r="K28">
        <v>-0.78</v>
      </c>
      <c r="L28">
        <v>-0.91300000000000003</v>
      </c>
      <c r="M28">
        <v>262.76299999999998</v>
      </c>
      <c r="N28">
        <v>255.06200000000001</v>
      </c>
      <c r="O28">
        <v>3446.5569999999998</v>
      </c>
      <c r="P28">
        <v>66.623999999999995</v>
      </c>
      <c r="Q28">
        <v>41.972000000000001</v>
      </c>
      <c r="R28">
        <v>433.108</v>
      </c>
      <c r="S28">
        <v>304.16800000000001</v>
      </c>
      <c r="T28">
        <v>14.2</v>
      </c>
      <c r="U28">
        <v>16.468</v>
      </c>
      <c r="V28">
        <v>72.03</v>
      </c>
      <c r="W28">
        <v>83.531999999999996</v>
      </c>
      <c r="X28">
        <v>8004.3379999999997</v>
      </c>
      <c r="Y28">
        <v>46.82</v>
      </c>
      <c r="Z28">
        <v>85146067416</v>
      </c>
    </row>
    <row r="29" spans="1:26">
      <c r="A29" t="s">
        <v>30</v>
      </c>
      <c r="B29">
        <v>2003</v>
      </c>
      <c r="C29" t="s">
        <v>31</v>
      </c>
      <c r="D29" t="s">
        <v>28</v>
      </c>
      <c r="E29" t="s">
        <v>32</v>
      </c>
      <c r="F29">
        <v>77853548</v>
      </c>
      <c r="G29" s="1">
        <v>528750000000</v>
      </c>
      <c r="H29">
        <v>92.19</v>
      </c>
      <c r="I29">
        <v>91.27</v>
      </c>
      <c r="J29">
        <v>1172.329</v>
      </c>
      <c r="K29">
        <v>-0.92</v>
      </c>
      <c r="L29">
        <v>-1.008</v>
      </c>
      <c r="M29">
        <v>289.71300000000002</v>
      </c>
      <c r="N29">
        <v>285.86200000000002</v>
      </c>
      <c r="O29">
        <v>3721.25</v>
      </c>
      <c r="P29">
        <v>69.444000000000003</v>
      </c>
      <c r="Q29">
        <v>44.411000000000001</v>
      </c>
      <c r="R29">
        <v>431.15300000000002</v>
      </c>
      <c r="S29">
        <v>311.87799999999999</v>
      </c>
      <c r="T29">
        <v>13.23</v>
      </c>
      <c r="U29">
        <v>14.351000000000001</v>
      </c>
      <c r="V29">
        <v>78.959999999999994</v>
      </c>
      <c r="W29">
        <v>85.649000000000001</v>
      </c>
      <c r="X29">
        <v>8297.5229999999992</v>
      </c>
      <c r="Y29">
        <v>51.26</v>
      </c>
      <c r="Z29">
        <v>80288461538</v>
      </c>
    </row>
    <row r="30" spans="1:26">
      <c r="A30" t="s">
        <v>30</v>
      </c>
      <c r="B30">
        <v>2004</v>
      </c>
      <c r="C30" t="s">
        <v>31</v>
      </c>
      <c r="D30" t="s">
        <v>28</v>
      </c>
      <c r="E30" t="s">
        <v>32</v>
      </c>
      <c r="F30">
        <v>79477441</v>
      </c>
      <c r="G30" s="1">
        <v>561598000000</v>
      </c>
      <c r="H30">
        <v>98.25</v>
      </c>
      <c r="I30">
        <v>97.55</v>
      </c>
      <c r="J30">
        <v>1227.3920000000001</v>
      </c>
      <c r="K30">
        <v>-0.7</v>
      </c>
      <c r="L30">
        <v>-0.71799999999999997</v>
      </c>
      <c r="M30">
        <v>317.625</v>
      </c>
      <c r="N30">
        <v>305.11200000000002</v>
      </c>
      <c r="O30">
        <v>3996.4169999999999</v>
      </c>
      <c r="P30">
        <v>75.775999999999996</v>
      </c>
      <c r="Q30">
        <v>44.884999999999998</v>
      </c>
      <c r="R30">
        <v>405.197</v>
      </c>
      <c r="S30">
        <v>328.39800000000002</v>
      </c>
      <c r="T30">
        <v>13.33</v>
      </c>
      <c r="U30">
        <v>13.567</v>
      </c>
      <c r="V30">
        <v>84.92</v>
      </c>
      <c r="W30">
        <v>86.433000000000007</v>
      </c>
      <c r="X30">
        <v>8581.7289999999994</v>
      </c>
      <c r="Y30">
        <v>55.01</v>
      </c>
      <c r="Z30">
        <v>78782467532</v>
      </c>
    </row>
    <row r="31" spans="1:26">
      <c r="A31" t="s">
        <v>30</v>
      </c>
      <c r="B31">
        <v>2005</v>
      </c>
      <c r="C31" t="s">
        <v>31</v>
      </c>
      <c r="D31" t="s">
        <v>28</v>
      </c>
      <c r="E31" t="s">
        <v>32</v>
      </c>
      <c r="F31">
        <v>81101012</v>
      </c>
      <c r="G31" s="1">
        <v>600297000000</v>
      </c>
      <c r="H31">
        <v>104.94</v>
      </c>
      <c r="I31">
        <v>104.16</v>
      </c>
      <c r="J31">
        <v>1284.3240000000001</v>
      </c>
      <c r="K31">
        <v>-0.78</v>
      </c>
      <c r="L31">
        <v>-0.749</v>
      </c>
      <c r="M31">
        <v>409.06200000000001</v>
      </c>
      <c r="N31">
        <v>304.14999999999998</v>
      </c>
      <c r="O31">
        <v>5043.8639999999996</v>
      </c>
      <c r="P31">
        <v>73.174999999999997</v>
      </c>
      <c r="Q31">
        <v>43.63</v>
      </c>
      <c r="R31">
        <v>385.73599999999999</v>
      </c>
      <c r="S31">
        <v>347.70400000000001</v>
      </c>
      <c r="T31">
        <v>13.15</v>
      </c>
      <c r="U31">
        <v>12.531000000000001</v>
      </c>
      <c r="V31">
        <v>91.79</v>
      </c>
      <c r="W31">
        <v>87.468999999999994</v>
      </c>
      <c r="X31">
        <v>8624.0190000000002</v>
      </c>
      <c r="Y31">
        <v>59.5</v>
      </c>
      <c r="Z31">
        <v>89660339660</v>
      </c>
    </row>
    <row r="32" spans="1:26">
      <c r="A32" t="s">
        <v>30</v>
      </c>
      <c r="B32">
        <v>2006</v>
      </c>
      <c r="C32" t="s">
        <v>31</v>
      </c>
      <c r="D32" t="s">
        <v>28</v>
      </c>
      <c r="E32" t="s">
        <v>32</v>
      </c>
      <c r="F32">
        <v>82700404</v>
      </c>
      <c r="G32" s="1">
        <v>650404000000</v>
      </c>
      <c r="H32">
        <v>111.66</v>
      </c>
      <c r="I32">
        <v>111.31</v>
      </c>
      <c r="J32">
        <v>1345.943</v>
      </c>
      <c r="K32">
        <v>-0.35</v>
      </c>
      <c r="L32">
        <v>-0.314</v>
      </c>
      <c r="M32">
        <v>526.48699999999997</v>
      </c>
      <c r="N32">
        <v>351.31200000000001</v>
      </c>
      <c r="O32">
        <v>6366.2020000000002</v>
      </c>
      <c r="P32">
        <v>74.387</v>
      </c>
      <c r="Q32">
        <v>47.84</v>
      </c>
      <c r="R32">
        <v>385.67099999999999</v>
      </c>
      <c r="S32">
        <v>337.33100000000002</v>
      </c>
      <c r="T32">
        <v>13.39</v>
      </c>
      <c r="U32">
        <v>11.992000000000001</v>
      </c>
      <c r="V32">
        <v>98.27</v>
      </c>
      <c r="W32">
        <v>88.007999999999996</v>
      </c>
      <c r="X32">
        <v>8907.3850000000002</v>
      </c>
      <c r="Y32">
        <v>63.67</v>
      </c>
      <c r="Z32" s="1">
        <v>107426000000</v>
      </c>
    </row>
    <row r="33" spans="1:26">
      <c r="A33" t="s">
        <v>30</v>
      </c>
      <c r="B33">
        <v>2007</v>
      </c>
      <c r="C33" t="s">
        <v>31</v>
      </c>
      <c r="D33" t="s">
        <v>28</v>
      </c>
      <c r="E33" t="s">
        <v>32</v>
      </c>
      <c r="F33">
        <v>84276224</v>
      </c>
      <c r="G33" s="1">
        <v>713462000000</v>
      </c>
      <c r="H33">
        <v>119.86</v>
      </c>
      <c r="I33">
        <v>119.3</v>
      </c>
      <c r="J33">
        <v>1415.5830000000001</v>
      </c>
      <c r="K33">
        <v>-0.56000000000000005</v>
      </c>
      <c r="L33">
        <v>-0.46899999999999997</v>
      </c>
      <c r="M33">
        <v>536.01599999999996</v>
      </c>
      <c r="N33">
        <v>369.21499999999997</v>
      </c>
      <c r="O33">
        <v>6360.2309999999998</v>
      </c>
      <c r="P33">
        <v>74.427999999999997</v>
      </c>
      <c r="Q33">
        <v>47.209000000000003</v>
      </c>
      <c r="R33">
        <v>393.21</v>
      </c>
      <c r="S33">
        <v>364.28699999999998</v>
      </c>
      <c r="T33">
        <v>14.88</v>
      </c>
      <c r="U33">
        <v>12.414</v>
      </c>
      <c r="V33">
        <v>104.98</v>
      </c>
      <c r="W33">
        <v>87.585999999999999</v>
      </c>
      <c r="X33">
        <v>9309.6170000000002</v>
      </c>
      <c r="Y33">
        <v>68.03</v>
      </c>
      <c r="Z33" s="1">
        <v>130438000000</v>
      </c>
    </row>
    <row r="34" spans="1:26">
      <c r="A34" t="s">
        <v>30</v>
      </c>
      <c r="B34">
        <v>2008</v>
      </c>
      <c r="C34" t="s">
        <v>31</v>
      </c>
      <c r="D34" t="s">
        <v>28</v>
      </c>
      <c r="E34" t="s">
        <v>32</v>
      </c>
      <c r="F34">
        <v>85864791</v>
      </c>
      <c r="G34" s="1">
        <v>775304000000</v>
      </c>
      <c r="H34">
        <v>128.80000000000001</v>
      </c>
      <c r="I34">
        <v>127.9</v>
      </c>
      <c r="J34">
        <v>1489.5509999999999</v>
      </c>
      <c r="K34">
        <v>-0.9</v>
      </c>
      <c r="L34">
        <v>-0.70399999999999996</v>
      </c>
      <c r="M34">
        <v>567.58600000000001</v>
      </c>
      <c r="N34">
        <v>393.08499999999998</v>
      </c>
      <c r="O34">
        <v>6610.232</v>
      </c>
      <c r="P34">
        <v>73.649000000000001</v>
      </c>
      <c r="Q34">
        <v>47.411999999999999</v>
      </c>
      <c r="R34">
        <v>403.03</v>
      </c>
      <c r="S34">
        <v>385.61700000000002</v>
      </c>
      <c r="T34">
        <v>16.03</v>
      </c>
      <c r="U34">
        <v>12.446</v>
      </c>
      <c r="V34">
        <v>112.77</v>
      </c>
      <c r="W34">
        <v>87.554000000000002</v>
      </c>
      <c r="X34">
        <v>9687.7690000000002</v>
      </c>
      <c r="Y34">
        <v>73.08</v>
      </c>
      <c r="Z34" s="1">
        <v>162818000000</v>
      </c>
    </row>
    <row r="35" spans="1:26">
      <c r="A35" t="s">
        <v>30</v>
      </c>
      <c r="B35">
        <v>2009</v>
      </c>
      <c r="C35" t="s">
        <v>31</v>
      </c>
      <c r="D35" t="s">
        <v>28</v>
      </c>
      <c r="E35" t="s">
        <v>32</v>
      </c>
      <c r="F35">
        <v>87501635</v>
      </c>
      <c r="G35" s="1">
        <v>831415000000</v>
      </c>
      <c r="H35">
        <v>134.27000000000001</v>
      </c>
      <c r="I35">
        <v>133.33000000000001</v>
      </c>
      <c r="J35">
        <v>1523.7429999999999</v>
      </c>
      <c r="K35">
        <v>-0.94</v>
      </c>
      <c r="L35">
        <v>-0.70499999999999996</v>
      </c>
      <c r="M35">
        <v>603.39099999999996</v>
      </c>
      <c r="N35">
        <v>409.447</v>
      </c>
      <c r="O35">
        <v>6895.7709999999997</v>
      </c>
      <c r="P35">
        <v>73.537999999999997</v>
      </c>
      <c r="Q35">
        <v>47.655000000000001</v>
      </c>
      <c r="R35">
        <v>410.07400000000001</v>
      </c>
      <c r="S35">
        <v>403.661</v>
      </c>
      <c r="T35">
        <v>14.81</v>
      </c>
      <c r="U35">
        <v>11.03</v>
      </c>
      <c r="V35">
        <v>119.46</v>
      </c>
      <c r="W35">
        <v>88.97</v>
      </c>
      <c r="X35">
        <v>9847.4879999999994</v>
      </c>
      <c r="Y35">
        <v>77.400000000000006</v>
      </c>
      <c r="Z35" s="1">
        <v>189147000000</v>
      </c>
    </row>
    <row r="36" spans="1:26">
      <c r="A36" t="s">
        <v>30</v>
      </c>
      <c r="B36">
        <v>2010</v>
      </c>
      <c r="C36" t="s">
        <v>31</v>
      </c>
      <c r="D36" t="s">
        <v>28</v>
      </c>
      <c r="E36" t="s">
        <v>32</v>
      </c>
      <c r="F36">
        <v>89196073</v>
      </c>
      <c r="G36" s="1">
        <v>898751000000</v>
      </c>
      <c r="H36">
        <v>144.43</v>
      </c>
      <c r="I36">
        <v>142.99</v>
      </c>
      <c r="J36">
        <v>1603.098</v>
      </c>
      <c r="K36">
        <v>-1.44</v>
      </c>
      <c r="L36">
        <v>-1.0069999999999999</v>
      </c>
      <c r="M36">
        <v>590.20500000000004</v>
      </c>
      <c r="N36">
        <v>434.18400000000003</v>
      </c>
      <c r="O36">
        <v>6616.9390000000003</v>
      </c>
      <c r="P36">
        <v>76.230999999999995</v>
      </c>
      <c r="Q36">
        <v>48.64</v>
      </c>
      <c r="R36">
        <v>407.399</v>
      </c>
      <c r="S36">
        <v>415.59399999999999</v>
      </c>
      <c r="T36">
        <v>14.39</v>
      </c>
      <c r="U36">
        <v>9.9629999999999992</v>
      </c>
      <c r="V36">
        <v>130.04</v>
      </c>
      <c r="W36">
        <v>90.037000000000006</v>
      </c>
      <c r="X36">
        <v>10035.326999999999</v>
      </c>
      <c r="Y36">
        <v>84.16</v>
      </c>
      <c r="Z36" s="1">
        <v>218984000000</v>
      </c>
    </row>
    <row r="37" spans="1:26">
      <c r="A37" t="s">
        <v>30</v>
      </c>
      <c r="B37">
        <v>2011</v>
      </c>
      <c r="C37" t="s">
        <v>31</v>
      </c>
      <c r="D37" t="s">
        <v>28</v>
      </c>
      <c r="E37" t="s">
        <v>32</v>
      </c>
      <c r="F37">
        <v>91093066</v>
      </c>
      <c r="G37" s="1">
        <v>923053000000</v>
      </c>
      <c r="H37">
        <v>149.56</v>
      </c>
      <c r="I37">
        <v>147.97999999999999</v>
      </c>
      <c r="J37">
        <v>1624.492</v>
      </c>
      <c r="K37">
        <v>-1.58</v>
      </c>
      <c r="L37">
        <v>-1.0680000000000001</v>
      </c>
      <c r="M37">
        <v>591.43299999999999</v>
      </c>
      <c r="N37">
        <v>477.59300000000002</v>
      </c>
      <c r="O37">
        <v>6492.6220000000003</v>
      </c>
      <c r="P37">
        <v>78.537000000000006</v>
      </c>
      <c r="Q37">
        <v>50.856000000000002</v>
      </c>
      <c r="R37">
        <v>402.38600000000002</v>
      </c>
      <c r="S37">
        <v>418.22199999999998</v>
      </c>
      <c r="T37">
        <v>14.72</v>
      </c>
      <c r="U37">
        <v>9.8420000000000005</v>
      </c>
      <c r="V37">
        <v>134.84</v>
      </c>
      <c r="W37">
        <v>90.158000000000001</v>
      </c>
      <c r="X37">
        <v>10336.393</v>
      </c>
      <c r="Y37">
        <v>87.22</v>
      </c>
      <c r="Z37" s="1">
        <v>235990000000</v>
      </c>
    </row>
    <row r="38" spans="1:26">
      <c r="A38" t="s">
        <v>30</v>
      </c>
      <c r="B38">
        <v>2012</v>
      </c>
      <c r="C38" t="s">
        <v>31</v>
      </c>
      <c r="D38" t="s">
        <v>28</v>
      </c>
      <c r="E38" t="s">
        <v>32</v>
      </c>
      <c r="F38">
        <v>93161000</v>
      </c>
      <c r="G38" s="1">
        <v>950287000000</v>
      </c>
      <c r="H38">
        <v>162.84</v>
      </c>
      <c r="I38">
        <v>162.44</v>
      </c>
      <c r="J38">
        <v>1743.6479999999999</v>
      </c>
      <c r="K38">
        <v>-0.4</v>
      </c>
      <c r="L38">
        <v>-0.246</v>
      </c>
      <c r="M38">
        <v>585.98199999999997</v>
      </c>
      <c r="N38">
        <v>506.37099999999998</v>
      </c>
      <c r="O38">
        <v>6289.991</v>
      </c>
      <c r="P38">
        <v>77.72</v>
      </c>
      <c r="Q38">
        <v>51.805</v>
      </c>
      <c r="R38">
        <v>403.86399999999998</v>
      </c>
      <c r="S38">
        <v>428.22500000000002</v>
      </c>
      <c r="T38">
        <v>14.87</v>
      </c>
      <c r="U38">
        <v>9.1319999999999997</v>
      </c>
      <c r="V38">
        <v>147.97</v>
      </c>
      <c r="W38">
        <v>90.867999999999995</v>
      </c>
      <c r="X38">
        <v>10518.4</v>
      </c>
      <c r="Y38">
        <v>95.73</v>
      </c>
      <c r="Z38" s="1">
        <v>279117000000</v>
      </c>
    </row>
    <row r="39" spans="1:26">
      <c r="A39" t="s">
        <v>30</v>
      </c>
      <c r="B39">
        <v>2013</v>
      </c>
      <c r="C39" t="s">
        <v>31</v>
      </c>
      <c r="D39" t="s">
        <v>28</v>
      </c>
      <c r="E39" t="s">
        <v>32</v>
      </c>
      <c r="F39">
        <v>95333551</v>
      </c>
      <c r="G39" s="1">
        <v>984557000000</v>
      </c>
      <c r="H39">
        <v>165.08</v>
      </c>
      <c r="I39">
        <v>164.68</v>
      </c>
      <c r="J39">
        <v>1727.4090000000001</v>
      </c>
      <c r="K39">
        <v>-0.4</v>
      </c>
      <c r="L39">
        <v>-0.24299999999999999</v>
      </c>
      <c r="M39">
        <v>539.64800000000002</v>
      </c>
      <c r="N39">
        <v>495.01400000000001</v>
      </c>
      <c r="O39">
        <v>5660.634</v>
      </c>
      <c r="P39">
        <v>74.611999999999995</v>
      </c>
      <c r="Q39">
        <v>50.991</v>
      </c>
      <c r="R39">
        <v>399.61900000000003</v>
      </c>
      <c r="S39">
        <v>433.327</v>
      </c>
      <c r="T39">
        <v>14.85</v>
      </c>
      <c r="U39">
        <v>8.9960000000000004</v>
      </c>
      <c r="V39">
        <v>150.22999999999999</v>
      </c>
      <c r="W39">
        <v>91.004000000000005</v>
      </c>
      <c r="X39">
        <v>10209.089</v>
      </c>
      <c r="Y39">
        <v>97.26</v>
      </c>
      <c r="Z39" s="1">
        <v>288434000000</v>
      </c>
    </row>
    <row r="40" spans="1:26">
      <c r="A40" t="s">
        <v>30</v>
      </c>
      <c r="B40">
        <v>2014</v>
      </c>
      <c r="C40" t="s">
        <v>31</v>
      </c>
      <c r="D40" t="s">
        <v>28</v>
      </c>
      <c r="E40" t="s">
        <v>32</v>
      </c>
      <c r="F40">
        <v>97528655</v>
      </c>
      <c r="G40" s="1">
        <v>1035720000000</v>
      </c>
      <c r="H40">
        <v>171.24</v>
      </c>
      <c r="I40">
        <v>170.56</v>
      </c>
      <c r="J40">
        <v>1748.819</v>
      </c>
      <c r="K40">
        <v>-0.68</v>
      </c>
      <c r="L40">
        <v>-0.39900000000000002</v>
      </c>
      <c r="M40">
        <v>469.61099999999999</v>
      </c>
      <c r="N40">
        <v>462.18799999999999</v>
      </c>
      <c r="O40">
        <v>4815.1030000000001</v>
      </c>
      <c r="P40">
        <v>72.787000000000006</v>
      </c>
      <c r="Q40">
        <v>48.167000000000002</v>
      </c>
      <c r="R40">
        <v>408.68099999999998</v>
      </c>
      <c r="S40">
        <v>455.28800000000001</v>
      </c>
      <c r="T40">
        <v>14.76</v>
      </c>
      <c r="U40">
        <v>8.6189999999999998</v>
      </c>
      <c r="V40">
        <v>156.47999999999999</v>
      </c>
      <c r="W40">
        <v>91.381</v>
      </c>
      <c r="X40">
        <v>9863.4770000000008</v>
      </c>
      <c r="Y40">
        <v>101.35</v>
      </c>
      <c r="Z40" s="1">
        <v>305595000000</v>
      </c>
    </row>
    <row r="41" spans="1:26">
      <c r="A41" t="s">
        <v>30</v>
      </c>
      <c r="B41">
        <v>2015</v>
      </c>
      <c r="C41" t="s">
        <v>31</v>
      </c>
      <c r="D41" t="s">
        <v>28</v>
      </c>
      <c r="E41" t="s">
        <v>32</v>
      </c>
      <c r="F41">
        <v>99597334</v>
      </c>
      <c r="G41" s="1">
        <v>1079610000000</v>
      </c>
      <c r="H41">
        <v>181.83</v>
      </c>
      <c r="I41">
        <v>181.14</v>
      </c>
      <c r="J41">
        <v>1818.723</v>
      </c>
      <c r="K41">
        <v>-0.69</v>
      </c>
      <c r="L41">
        <v>-0.38100000000000001</v>
      </c>
      <c r="M41">
        <v>425.90600000000001</v>
      </c>
      <c r="N41">
        <v>460.18799999999999</v>
      </c>
      <c r="O41">
        <v>4276.2820000000002</v>
      </c>
      <c r="P41">
        <v>71.391000000000005</v>
      </c>
      <c r="Q41">
        <v>47.267000000000003</v>
      </c>
      <c r="R41">
        <v>412.06299999999999</v>
      </c>
      <c r="S41">
        <v>464.53699999999998</v>
      </c>
      <c r="T41">
        <v>15.61</v>
      </c>
      <c r="U41">
        <v>8.5850000000000009</v>
      </c>
      <c r="V41">
        <v>166.22</v>
      </c>
      <c r="W41">
        <v>91.415000000000006</v>
      </c>
      <c r="X41">
        <v>9800.5439999999999</v>
      </c>
      <c r="Y41">
        <v>107.69</v>
      </c>
      <c r="Z41" s="1">
        <v>329367000000</v>
      </c>
    </row>
    <row r="42" spans="1:26">
      <c r="A42" t="s">
        <v>30</v>
      </c>
      <c r="B42">
        <v>2016</v>
      </c>
      <c r="C42" t="s">
        <v>31</v>
      </c>
      <c r="D42" t="s">
        <v>28</v>
      </c>
      <c r="E42" t="s">
        <v>32</v>
      </c>
      <c r="F42">
        <v>101644583</v>
      </c>
      <c r="G42" s="1">
        <v>1121580000000</v>
      </c>
      <c r="H42">
        <v>188.19</v>
      </c>
      <c r="I42">
        <v>187.92</v>
      </c>
      <c r="J42">
        <v>1848.7950000000001</v>
      </c>
      <c r="K42">
        <v>-0.27</v>
      </c>
      <c r="L42">
        <v>-0.14399999999999999</v>
      </c>
      <c r="M42">
        <v>402.517</v>
      </c>
      <c r="N42">
        <v>493.541</v>
      </c>
      <c r="O42">
        <v>3960.049</v>
      </c>
      <c r="P42">
        <v>73.58</v>
      </c>
      <c r="Q42">
        <v>48.026000000000003</v>
      </c>
      <c r="R42">
        <v>393.50099999999998</v>
      </c>
      <c r="S42">
        <v>480.178</v>
      </c>
      <c r="T42">
        <v>15.83</v>
      </c>
      <c r="U42">
        <v>8.4120000000000008</v>
      </c>
      <c r="V42">
        <v>172.36</v>
      </c>
      <c r="W42">
        <v>91.587999999999994</v>
      </c>
      <c r="X42">
        <v>10135.914000000001</v>
      </c>
      <c r="Y42">
        <v>111.59</v>
      </c>
      <c r="Z42" s="1">
        <v>332442000000</v>
      </c>
    </row>
    <row r="43" spans="1:26">
      <c r="A43" t="s">
        <v>30</v>
      </c>
      <c r="B43">
        <v>2017</v>
      </c>
      <c r="C43" t="s">
        <v>31</v>
      </c>
      <c r="D43" t="s">
        <v>28</v>
      </c>
      <c r="E43" t="s">
        <v>32</v>
      </c>
      <c r="F43">
        <v>103696055</v>
      </c>
      <c r="G43" s="1">
        <v>1158060000000</v>
      </c>
      <c r="H43">
        <v>193.21</v>
      </c>
      <c r="I43">
        <v>192.87</v>
      </c>
      <c r="J43">
        <v>1859.9549999999999</v>
      </c>
      <c r="K43">
        <v>-0.34</v>
      </c>
      <c r="L43">
        <v>-0.17599999999999999</v>
      </c>
      <c r="M43">
        <v>488.113</v>
      </c>
      <c r="N43">
        <v>559.32799999999997</v>
      </c>
      <c r="O43">
        <v>4707.1480000000001</v>
      </c>
      <c r="P43">
        <v>78.635000000000005</v>
      </c>
      <c r="Q43">
        <v>52.359000000000002</v>
      </c>
      <c r="R43">
        <v>374.23</v>
      </c>
      <c r="S43">
        <v>456.21600000000001</v>
      </c>
      <c r="T43">
        <v>15.5</v>
      </c>
      <c r="U43">
        <v>8.0220000000000002</v>
      </c>
      <c r="V43">
        <v>177.71</v>
      </c>
      <c r="W43">
        <v>91.977999999999994</v>
      </c>
      <c r="X43">
        <v>10325.806</v>
      </c>
      <c r="Y43">
        <v>114.9</v>
      </c>
      <c r="Z43" s="1">
        <v>248363000000</v>
      </c>
    </row>
    <row r="44" spans="1:26">
      <c r="A44" t="s">
        <v>30</v>
      </c>
      <c r="B44">
        <v>2018</v>
      </c>
      <c r="C44" t="s">
        <v>31</v>
      </c>
      <c r="D44" t="s">
        <v>28</v>
      </c>
      <c r="E44" t="s">
        <v>32</v>
      </c>
      <c r="F44">
        <v>105682092</v>
      </c>
      <c r="G44" s="1">
        <v>1220660000000</v>
      </c>
      <c r="H44">
        <v>199.39</v>
      </c>
      <c r="I44">
        <v>198.82</v>
      </c>
      <c r="J44">
        <v>1881.3030000000001</v>
      </c>
      <c r="K44">
        <v>-0.56999999999999995</v>
      </c>
      <c r="L44">
        <v>-0.28699999999999998</v>
      </c>
      <c r="M44">
        <v>585.59</v>
      </c>
      <c r="N44">
        <v>595.95299999999997</v>
      </c>
      <c r="O44">
        <v>5541.0529999999999</v>
      </c>
      <c r="P44">
        <v>83.846000000000004</v>
      </c>
      <c r="Q44">
        <v>55.762</v>
      </c>
      <c r="R44">
        <v>381.976</v>
      </c>
      <c r="S44">
        <v>406.44499999999999</v>
      </c>
      <c r="T44">
        <v>16.46</v>
      </c>
      <c r="U44">
        <v>8.2550000000000008</v>
      </c>
      <c r="V44">
        <v>182.93</v>
      </c>
      <c r="W44">
        <v>91.745000000000005</v>
      </c>
      <c r="X44">
        <v>10137.438</v>
      </c>
      <c r="Y44">
        <v>118.12</v>
      </c>
      <c r="Z44" s="1">
        <v>262589000000</v>
      </c>
    </row>
    <row r="45" spans="1:26">
      <c r="A45" t="s">
        <v>30</v>
      </c>
      <c r="B45">
        <v>2019</v>
      </c>
      <c r="C45" t="s">
        <v>31</v>
      </c>
      <c r="D45" t="s">
        <v>28</v>
      </c>
      <c r="E45" t="s">
        <v>32</v>
      </c>
      <c r="F45">
        <v>107553159</v>
      </c>
      <c r="G45" s="1">
        <v>1289250000000</v>
      </c>
      <c r="H45">
        <v>200.57</v>
      </c>
      <c r="I45">
        <v>199.78</v>
      </c>
      <c r="J45">
        <v>1857.5</v>
      </c>
      <c r="K45">
        <v>-0.79</v>
      </c>
      <c r="L45">
        <v>-0.39500000000000002</v>
      </c>
      <c r="M45">
        <v>649.38800000000003</v>
      </c>
      <c r="N45">
        <v>590.38699999999994</v>
      </c>
      <c r="O45">
        <v>6037.8280000000004</v>
      </c>
      <c r="P45">
        <v>85.665999999999997</v>
      </c>
      <c r="Q45">
        <v>56.472999999999999</v>
      </c>
      <c r="R45">
        <v>369.97399999999999</v>
      </c>
      <c r="S45">
        <v>383.61399999999998</v>
      </c>
      <c r="T45">
        <v>19.59</v>
      </c>
      <c r="U45">
        <v>9.7669999999999995</v>
      </c>
      <c r="V45">
        <v>180.98</v>
      </c>
      <c r="W45">
        <v>90.233000000000004</v>
      </c>
      <c r="X45">
        <v>9749.4060000000009</v>
      </c>
      <c r="Y45">
        <v>116.83</v>
      </c>
      <c r="Z45" s="1">
        <v>318679000000</v>
      </c>
    </row>
    <row r="46" spans="1:26">
      <c r="A46" t="s">
        <v>30</v>
      </c>
      <c r="B46">
        <v>2020</v>
      </c>
      <c r="C46" t="s">
        <v>31</v>
      </c>
      <c r="D46" t="s">
        <v>28</v>
      </c>
      <c r="E46" t="s">
        <v>32</v>
      </c>
      <c r="F46">
        <v>109315118</v>
      </c>
      <c r="G46" s="1">
        <v>1307780000000</v>
      </c>
      <c r="H46">
        <v>198.6</v>
      </c>
      <c r="I46">
        <v>197.18</v>
      </c>
      <c r="J46">
        <v>1803.7760000000001</v>
      </c>
      <c r="K46">
        <v>-1.42</v>
      </c>
      <c r="L46">
        <v>-0.72</v>
      </c>
      <c r="M46">
        <v>584.65200000000004</v>
      </c>
      <c r="N46">
        <v>583.07899999999995</v>
      </c>
      <c r="O46">
        <v>5348.3149999999996</v>
      </c>
      <c r="P46">
        <v>84.018000000000001</v>
      </c>
      <c r="Q46">
        <v>59.305999999999997</v>
      </c>
      <c r="R46">
        <v>361.30200000000002</v>
      </c>
      <c r="S46">
        <v>332.68</v>
      </c>
      <c r="T46">
        <v>23.76</v>
      </c>
      <c r="U46">
        <v>11.964</v>
      </c>
      <c r="V46">
        <v>174.84</v>
      </c>
      <c r="W46">
        <v>88.036000000000001</v>
      </c>
      <c r="X46">
        <v>9028.0720000000001</v>
      </c>
      <c r="Y46">
        <v>113.02</v>
      </c>
      <c r="Z46" s="1">
        <v>383818000000</v>
      </c>
    </row>
    <row r="47" spans="1:26">
      <c r="A47" t="s">
        <v>30</v>
      </c>
      <c r="B47">
        <v>2021</v>
      </c>
      <c r="C47" t="s">
        <v>31</v>
      </c>
      <c r="D47" t="s">
        <v>28</v>
      </c>
      <c r="E47" t="s">
        <v>32</v>
      </c>
      <c r="F47">
        <v>110957005</v>
      </c>
      <c r="G47" s="1">
        <v>1400990000000</v>
      </c>
      <c r="H47">
        <v>209.66</v>
      </c>
      <c r="I47">
        <v>208.19</v>
      </c>
      <c r="J47">
        <v>1876.3119999999999</v>
      </c>
      <c r="K47">
        <v>-1.47</v>
      </c>
      <c r="L47">
        <v>-0.70599999999999996</v>
      </c>
      <c r="M47">
        <v>677.99400000000003</v>
      </c>
      <c r="N47">
        <v>621.24800000000005</v>
      </c>
      <c r="O47">
        <v>6110.424</v>
      </c>
      <c r="P47">
        <v>85.590999999999994</v>
      </c>
      <c r="Q47">
        <v>58.753</v>
      </c>
      <c r="R47">
        <v>344.26400000000001</v>
      </c>
      <c r="S47">
        <v>359.56700000000001</v>
      </c>
      <c r="T47">
        <v>25.36</v>
      </c>
      <c r="U47">
        <v>12.096</v>
      </c>
      <c r="V47">
        <v>184.3</v>
      </c>
      <c r="W47">
        <v>87.903999999999996</v>
      </c>
      <c r="X47">
        <v>9564.884</v>
      </c>
      <c r="Y47">
        <v>119.1</v>
      </c>
      <c r="Z47" s="1">
        <v>424672000000</v>
      </c>
    </row>
    <row r="48" spans="1:26">
      <c r="A48" t="s">
        <v>30</v>
      </c>
      <c r="B48">
        <v>2022</v>
      </c>
      <c r="C48" t="s">
        <v>31</v>
      </c>
      <c r="D48" t="s">
        <v>28</v>
      </c>
      <c r="E48" t="s">
        <v>32</v>
      </c>
      <c r="F48">
        <v>112618252</v>
      </c>
      <c r="G48" s="1">
        <v>1460430000000</v>
      </c>
      <c r="H48">
        <v>216.72</v>
      </c>
      <c r="I48">
        <v>215.15</v>
      </c>
      <c r="J48">
        <v>1910.4359999999999</v>
      </c>
      <c r="K48">
        <v>-1.57</v>
      </c>
      <c r="L48">
        <v>-0.73</v>
      </c>
      <c r="M48">
        <v>644.88199999999995</v>
      </c>
      <c r="N48">
        <v>605.90899999999999</v>
      </c>
      <c r="O48">
        <v>5726.2640000000001</v>
      </c>
      <c r="P48">
        <v>84.472999999999999</v>
      </c>
      <c r="Q48">
        <v>54.768999999999998</v>
      </c>
      <c r="R48">
        <v>349.39299999999997</v>
      </c>
      <c r="S48">
        <v>425.22899999999998</v>
      </c>
      <c r="T48">
        <v>25.61</v>
      </c>
      <c r="U48">
        <v>11.817</v>
      </c>
      <c r="V48">
        <v>191.11</v>
      </c>
      <c r="W48">
        <v>88.183000000000007</v>
      </c>
      <c r="X48">
        <v>9857.5789999999997</v>
      </c>
      <c r="Y48">
        <v>123.54</v>
      </c>
      <c r="Z48" s="1">
        <v>476748000000</v>
      </c>
    </row>
    <row r="49" spans="1:26">
      <c r="A49" t="s">
        <v>30</v>
      </c>
      <c r="B49">
        <v>2023</v>
      </c>
      <c r="C49" t="s">
        <v>31</v>
      </c>
      <c r="D49" t="s">
        <v>28</v>
      </c>
      <c r="E49" t="s">
        <v>32</v>
      </c>
      <c r="F49">
        <v>114535772</v>
      </c>
      <c r="G49" s="1">
        <v>1289340000000</v>
      </c>
      <c r="H49">
        <v>221.92</v>
      </c>
      <c r="I49">
        <v>220.53</v>
      </c>
      <c r="J49">
        <v>1925.425</v>
      </c>
      <c r="K49">
        <v>-1.39</v>
      </c>
      <c r="L49">
        <v>-0.63</v>
      </c>
      <c r="M49">
        <v>571.00400000000002</v>
      </c>
      <c r="N49">
        <v>600.39</v>
      </c>
      <c r="O49">
        <v>4985.3770000000004</v>
      </c>
      <c r="P49">
        <v>80.825999999999993</v>
      </c>
      <c r="Q49">
        <v>55.003999999999998</v>
      </c>
      <c r="R49">
        <v>345.46</v>
      </c>
      <c r="S49">
        <v>414.18</v>
      </c>
      <c r="T49">
        <v>25.97</v>
      </c>
      <c r="U49">
        <v>11.702</v>
      </c>
      <c r="V49">
        <v>195.95</v>
      </c>
      <c r="W49">
        <v>88.298000000000002</v>
      </c>
      <c r="X49">
        <v>9566.1540000000005</v>
      </c>
      <c r="Y49">
        <v>126.78</v>
      </c>
      <c r="Z49" s="1">
        <v>395926000000</v>
      </c>
    </row>
    <row r="50" spans="1:26" hidden="1">
      <c r="A50" t="s">
        <v>33</v>
      </c>
      <c r="B50">
        <v>2000</v>
      </c>
      <c r="C50" t="s">
        <v>34</v>
      </c>
      <c r="D50" t="s">
        <v>35</v>
      </c>
      <c r="E50" t="s">
        <v>36</v>
      </c>
      <c r="F50">
        <v>67411496</v>
      </c>
      <c r="G50">
        <v>50326965912</v>
      </c>
      <c r="H50">
        <v>1.69</v>
      </c>
      <c r="I50">
        <v>1.69</v>
      </c>
      <c r="J50">
        <v>25.07</v>
      </c>
      <c r="K50">
        <v>0</v>
      </c>
      <c r="L50">
        <v>0</v>
      </c>
      <c r="M50">
        <v>0</v>
      </c>
      <c r="N50">
        <v>0</v>
      </c>
      <c r="O50">
        <v>0</v>
      </c>
      <c r="P50">
        <v>0</v>
      </c>
      <c r="Q50">
        <v>0</v>
      </c>
      <c r="R50">
        <v>0</v>
      </c>
      <c r="S50">
        <v>46.54</v>
      </c>
      <c r="T50">
        <v>1.67</v>
      </c>
      <c r="U50">
        <v>98.816999999999993</v>
      </c>
      <c r="V50">
        <v>0.02</v>
      </c>
      <c r="W50">
        <v>1.1830000000000001</v>
      </c>
      <c r="X50">
        <v>237.98</v>
      </c>
      <c r="Y50">
        <v>0.06</v>
      </c>
      <c r="Z50">
        <v>8242349618</v>
      </c>
    </row>
    <row r="51" spans="1:26" hidden="1">
      <c r="A51" t="s">
        <v>33</v>
      </c>
      <c r="B51">
        <v>2001</v>
      </c>
      <c r="C51" t="s">
        <v>34</v>
      </c>
      <c r="D51" t="s">
        <v>35</v>
      </c>
      <c r="E51" t="s">
        <v>36</v>
      </c>
      <c r="F51">
        <v>69487767</v>
      </c>
      <c r="G51">
        <v>52434129516</v>
      </c>
      <c r="H51">
        <v>2.04</v>
      </c>
      <c r="I51">
        <v>2.04</v>
      </c>
      <c r="J51">
        <v>29.358000000000001</v>
      </c>
      <c r="K51">
        <v>0</v>
      </c>
      <c r="L51">
        <v>0</v>
      </c>
      <c r="M51">
        <v>0</v>
      </c>
      <c r="N51">
        <v>0</v>
      </c>
      <c r="O51">
        <v>0</v>
      </c>
      <c r="P51">
        <v>0</v>
      </c>
      <c r="Q51">
        <v>0</v>
      </c>
      <c r="R51">
        <v>0</v>
      </c>
      <c r="S51">
        <v>47.972999999999999</v>
      </c>
      <c r="T51">
        <v>2.02</v>
      </c>
      <c r="U51">
        <v>99.02</v>
      </c>
      <c r="V51">
        <v>0.02</v>
      </c>
      <c r="W51">
        <v>0.98</v>
      </c>
      <c r="X51">
        <v>244.971</v>
      </c>
      <c r="Y51">
        <v>7.0000000000000007E-2</v>
      </c>
      <c r="Z51">
        <v>8231326016</v>
      </c>
    </row>
    <row r="52" spans="1:26" hidden="1">
      <c r="A52" t="s">
        <v>33</v>
      </c>
      <c r="B52">
        <v>2002</v>
      </c>
      <c r="C52" t="s">
        <v>34</v>
      </c>
      <c r="D52" t="s">
        <v>35</v>
      </c>
      <c r="E52" t="s">
        <v>36</v>
      </c>
      <c r="F52">
        <v>71635521</v>
      </c>
      <c r="G52">
        <v>54501781462</v>
      </c>
      <c r="H52">
        <v>2.06</v>
      </c>
      <c r="I52">
        <v>2.06</v>
      </c>
      <c r="J52">
        <v>28.757000000000001</v>
      </c>
      <c r="K52">
        <v>0</v>
      </c>
      <c r="L52">
        <v>0</v>
      </c>
      <c r="M52">
        <v>0</v>
      </c>
      <c r="N52">
        <v>0</v>
      </c>
      <c r="O52">
        <v>0</v>
      </c>
      <c r="P52">
        <v>0</v>
      </c>
      <c r="Q52">
        <v>0</v>
      </c>
      <c r="R52">
        <v>0</v>
      </c>
      <c r="S52">
        <v>49.456000000000003</v>
      </c>
      <c r="T52">
        <v>2.04</v>
      </c>
      <c r="U52">
        <v>99.028999999999996</v>
      </c>
      <c r="V52">
        <v>0.02</v>
      </c>
      <c r="W52">
        <v>0.97099999999999997</v>
      </c>
      <c r="X52">
        <v>246.018</v>
      </c>
      <c r="Y52">
        <v>7.0000000000000007E-2</v>
      </c>
      <c r="Z52">
        <v>7850809498</v>
      </c>
    </row>
    <row r="53" spans="1:26" hidden="1">
      <c r="A53" t="s">
        <v>33</v>
      </c>
      <c r="B53">
        <v>2003</v>
      </c>
      <c r="C53" t="s">
        <v>34</v>
      </c>
      <c r="D53" t="s">
        <v>35</v>
      </c>
      <c r="E53" t="s">
        <v>36</v>
      </c>
      <c r="F53">
        <v>73832664</v>
      </c>
      <c r="G53">
        <v>53892038989</v>
      </c>
      <c r="H53">
        <v>2.33</v>
      </c>
      <c r="I53">
        <v>2.33</v>
      </c>
      <c r="J53">
        <v>31.558</v>
      </c>
      <c r="K53">
        <v>0</v>
      </c>
      <c r="L53">
        <v>0</v>
      </c>
      <c r="M53">
        <v>0</v>
      </c>
      <c r="N53">
        <v>0</v>
      </c>
      <c r="O53">
        <v>0</v>
      </c>
      <c r="P53">
        <v>0</v>
      </c>
      <c r="Q53">
        <v>0</v>
      </c>
      <c r="R53">
        <v>0</v>
      </c>
      <c r="S53">
        <v>50.972999999999999</v>
      </c>
      <c r="T53">
        <v>2.31</v>
      </c>
      <c r="U53">
        <v>99.141999999999996</v>
      </c>
      <c r="V53">
        <v>0.02</v>
      </c>
      <c r="W53">
        <v>0.85799999999999998</v>
      </c>
      <c r="X53">
        <v>256.37200000000001</v>
      </c>
      <c r="Y53">
        <v>7.0000000000000007E-2</v>
      </c>
      <c r="Z53">
        <v>8623691300</v>
      </c>
    </row>
    <row r="54" spans="1:26" hidden="1">
      <c r="A54" t="s">
        <v>33</v>
      </c>
      <c r="B54">
        <v>2004</v>
      </c>
      <c r="C54" t="s">
        <v>34</v>
      </c>
      <c r="D54" t="s">
        <v>35</v>
      </c>
      <c r="E54" t="s">
        <v>36</v>
      </c>
      <c r="F54">
        <v>76077211</v>
      </c>
      <c r="G54">
        <v>55845384136</v>
      </c>
      <c r="H54">
        <v>2.57</v>
      </c>
      <c r="I54">
        <v>2.57</v>
      </c>
      <c r="J54">
        <v>33.780999999999999</v>
      </c>
      <c r="K54">
        <v>0</v>
      </c>
      <c r="L54">
        <v>0</v>
      </c>
      <c r="M54">
        <v>0</v>
      </c>
      <c r="N54">
        <v>0</v>
      </c>
      <c r="O54">
        <v>0</v>
      </c>
      <c r="P54">
        <v>0</v>
      </c>
      <c r="Q54">
        <v>0</v>
      </c>
      <c r="R54">
        <v>0</v>
      </c>
      <c r="S54">
        <v>52.523000000000003</v>
      </c>
      <c r="T54">
        <v>2.5499999999999998</v>
      </c>
      <c r="U54">
        <v>99.221999999999994</v>
      </c>
      <c r="V54">
        <v>0.02</v>
      </c>
      <c r="W54">
        <v>0.77800000000000002</v>
      </c>
      <c r="X54">
        <v>264.85300000000001</v>
      </c>
      <c r="Y54">
        <v>0.08</v>
      </c>
      <c r="Z54">
        <v>10131187261</v>
      </c>
    </row>
    <row r="55" spans="1:26" hidden="1">
      <c r="A55" t="s">
        <v>33</v>
      </c>
      <c r="B55">
        <v>2005</v>
      </c>
      <c r="C55" t="s">
        <v>34</v>
      </c>
      <c r="D55" t="s">
        <v>35</v>
      </c>
      <c r="E55" t="s">
        <v>36</v>
      </c>
      <c r="F55">
        <v>78367476</v>
      </c>
      <c r="G55">
        <v>61634778962</v>
      </c>
      <c r="H55">
        <v>2.88</v>
      </c>
      <c r="I55">
        <v>2.88</v>
      </c>
      <c r="J55">
        <v>36.75</v>
      </c>
      <c r="K55">
        <v>0</v>
      </c>
      <c r="L55">
        <v>0</v>
      </c>
      <c r="M55">
        <v>0</v>
      </c>
      <c r="N55">
        <v>0</v>
      </c>
      <c r="O55">
        <v>0</v>
      </c>
      <c r="P55">
        <v>0</v>
      </c>
      <c r="Q55">
        <v>0</v>
      </c>
      <c r="R55">
        <v>0</v>
      </c>
      <c r="S55">
        <v>54.103999999999999</v>
      </c>
      <c r="T55">
        <v>2.87</v>
      </c>
      <c r="U55">
        <v>99.653000000000006</v>
      </c>
      <c r="V55">
        <v>0.01</v>
      </c>
      <c r="W55">
        <v>0.34699999999999998</v>
      </c>
      <c r="X55">
        <v>297.26499999999999</v>
      </c>
      <c r="Y55">
        <v>0.09</v>
      </c>
      <c r="Z55">
        <v>12401139454</v>
      </c>
    </row>
    <row r="56" spans="1:26" hidden="1">
      <c r="A56" t="s">
        <v>33</v>
      </c>
      <c r="B56">
        <v>2006</v>
      </c>
      <c r="C56" t="s">
        <v>34</v>
      </c>
      <c r="D56" t="s">
        <v>35</v>
      </c>
      <c r="E56" t="s">
        <v>36</v>
      </c>
      <c r="F56">
        <v>80703495</v>
      </c>
      <c r="G56">
        <v>67217118145</v>
      </c>
      <c r="H56">
        <v>3.31</v>
      </c>
      <c r="I56">
        <v>3.31</v>
      </c>
      <c r="J56">
        <v>41.014000000000003</v>
      </c>
      <c r="K56">
        <v>0</v>
      </c>
      <c r="L56">
        <v>0</v>
      </c>
      <c r="M56">
        <v>0</v>
      </c>
      <c r="N56">
        <v>0</v>
      </c>
      <c r="O56">
        <v>0</v>
      </c>
      <c r="P56">
        <v>0</v>
      </c>
      <c r="Q56">
        <v>0</v>
      </c>
      <c r="R56">
        <v>0</v>
      </c>
      <c r="S56">
        <v>55.716000000000001</v>
      </c>
      <c r="T56">
        <v>3.29</v>
      </c>
      <c r="U56">
        <v>99.396000000000001</v>
      </c>
      <c r="V56">
        <v>0.02</v>
      </c>
      <c r="W56">
        <v>0.60399999999999998</v>
      </c>
      <c r="X56">
        <v>313.911</v>
      </c>
      <c r="Y56">
        <v>0.1</v>
      </c>
      <c r="Z56">
        <v>15280861835</v>
      </c>
    </row>
    <row r="57" spans="1:26" hidden="1">
      <c r="A57" t="s">
        <v>33</v>
      </c>
      <c r="B57">
        <v>2007</v>
      </c>
      <c r="C57" t="s">
        <v>34</v>
      </c>
      <c r="D57" t="s">
        <v>35</v>
      </c>
      <c r="E57" t="s">
        <v>36</v>
      </c>
      <c r="F57">
        <v>83103218</v>
      </c>
      <c r="G57">
        <v>73421784125</v>
      </c>
      <c r="H57">
        <v>3.43</v>
      </c>
      <c r="I57">
        <v>3.43</v>
      </c>
      <c r="J57">
        <v>41.274000000000001</v>
      </c>
      <c r="K57">
        <v>0</v>
      </c>
      <c r="L57">
        <v>0</v>
      </c>
      <c r="M57">
        <v>0</v>
      </c>
      <c r="N57">
        <v>0</v>
      </c>
      <c r="O57">
        <v>0</v>
      </c>
      <c r="P57">
        <v>0</v>
      </c>
      <c r="Q57">
        <v>0</v>
      </c>
      <c r="R57">
        <v>0</v>
      </c>
      <c r="S57">
        <v>57.372999999999998</v>
      </c>
      <c r="T57">
        <v>3.39</v>
      </c>
      <c r="U57">
        <v>98.834000000000003</v>
      </c>
      <c r="V57">
        <v>0.04</v>
      </c>
      <c r="W57">
        <v>1.1659999999999999</v>
      </c>
      <c r="X57">
        <v>342.71199999999999</v>
      </c>
      <c r="Y57">
        <v>0.12</v>
      </c>
      <c r="Z57">
        <v>19707616773</v>
      </c>
    </row>
    <row r="58" spans="1:26" hidden="1">
      <c r="A58" t="s">
        <v>33</v>
      </c>
      <c r="B58">
        <v>2008</v>
      </c>
      <c r="C58" t="s">
        <v>34</v>
      </c>
      <c r="D58" t="s">
        <v>35</v>
      </c>
      <c r="E58" t="s">
        <v>36</v>
      </c>
      <c r="F58">
        <v>85543670</v>
      </c>
      <c r="G58">
        <v>79756503135</v>
      </c>
      <c r="H58">
        <v>3.33</v>
      </c>
      <c r="I58">
        <v>3.33</v>
      </c>
      <c r="J58">
        <v>38.927</v>
      </c>
      <c r="K58">
        <v>0</v>
      </c>
      <c r="L58">
        <v>0</v>
      </c>
      <c r="M58">
        <v>0</v>
      </c>
      <c r="N58">
        <v>0</v>
      </c>
      <c r="O58">
        <v>0</v>
      </c>
      <c r="P58">
        <v>0</v>
      </c>
      <c r="Q58">
        <v>0</v>
      </c>
      <c r="R58">
        <v>0</v>
      </c>
      <c r="S58">
        <v>59.058</v>
      </c>
      <c r="T58">
        <v>3.32</v>
      </c>
      <c r="U58">
        <v>99.7</v>
      </c>
      <c r="V58">
        <v>0.01</v>
      </c>
      <c r="W58">
        <v>0.3</v>
      </c>
      <c r="X58">
        <v>353.99900000000002</v>
      </c>
      <c r="Y58">
        <v>0.1</v>
      </c>
      <c r="Z58">
        <v>27066912635</v>
      </c>
    </row>
    <row r="59" spans="1:26" hidden="1">
      <c r="A59" t="s">
        <v>33</v>
      </c>
      <c r="B59">
        <v>2009</v>
      </c>
      <c r="C59" t="s">
        <v>34</v>
      </c>
      <c r="D59" t="s">
        <v>35</v>
      </c>
      <c r="E59" t="s">
        <v>36</v>
      </c>
      <c r="F59">
        <v>88007641</v>
      </c>
      <c r="G59">
        <v>86391027022</v>
      </c>
      <c r="H59">
        <v>3.62</v>
      </c>
      <c r="I59">
        <v>3.62</v>
      </c>
      <c r="J59">
        <v>41.133000000000003</v>
      </c>
      <c r="K59">
        <v>0</v>
      </c>
      <c r="L59">
        <v>0</v>
      </c>
      <c r="M59">
        <v>0</v>
      </c>
      <c r="N59">
        <v>0</v>
      </c>
      <c r="O59">
        <v>0</v>
      </c>
      <c r="P59">
        <v>0</v>
      </c>
      <c r="Q59">
        <v>0</v>
      </c>
      <c r="R59">
        <v>0</v>
      </c>
      <c r="S59">
        <v>60.759</v>
      </c>
      <c r="T59">
        <v>3.56</v>
      </c>
      <c r="U59">
        <v>98.343000000000004</v>
      </c>
      <c r="V59">
        <v>0.06</v>
      </c>
      <c r="W59">
        <v>1.657</v>
      </c>
      <c r="X59">
        <v>354.18799999999999</v>
      </c>
      <c r="Y59">
        <v>0.13</v>
      </c>
      <c r="Z59">
        <v>32437389116</v>
      </c>
    </row>
    <row r="60" spans="1:26" hidden="1">
      <c r="A60" t="s">
        <v>33</v>
      </c>
      <c r="B60">
        <v>2010</v>
      </c>
      <c r="C60" t="s">
        <v>34</v>
      </c>
      <c r="D60" t="s">
        <v>35</v>
      </c>
      <c r="E60" t="s">
        <v>36</v>
      </c>
      <c r="F60">
        <v>90538518</v>
      </c>
      <c r="G60">
        <v>94148625646</v>
      </c>
      <c r="H60">
        <v>5.01</v>
      </c>
      <c r="I60">
        <v>5.01</v>
      </c>
      <c r="J60">
        <v>55.335999999999999</v>
      </c>
      <c r="K60">
        <v>0</v>
      </c>
      <c r="L60">
        <v>0</v>
      </c>
      <c r="M60">
        <v>0</v>
      </c>
      <c r="N60">
        <v>0</v>
      </c>
      <c r="O60">
        <v>0</v>
      </c>
      <c r="P60">
        <v>0</v>
      </c>
      <c r="Q60">
        <v>0</v>
      </c>
      <c r="R60">
        <v>0</v>
      </c>
      <c r="S60">
        <v>62.506</v>
      </c>
      <c r="T60">
        <v>4.96</v>
      </c>
      <c r="U60">
        <v>99.001999999999995</v>
      </c>
      <c r="V60">
        <v>0.05</v>
      </c>
      <c r="W60">
        <v>0.998</v>
      </c>
      <c r="X60">
        <v>360.90600000000001</v>
      </c>
      <c r="Y60">
        <v>0.16</v>
      </c>
      <c r="Z60">
        <v>29933790334</v>
      </c>
    </row>
    <row r="61" spans="1:26" hidden="1">
      <c r="A61" t="s">
        <v>33</v>
      </c>
      <c r="B61">
        <v>2011</v>
      </c>
      <c r="C61" t="s">
        <v>34</v>
      </c>
      <c r="D61" t="s">
        <v>35</v>
      </c>
      <c r="E61" t="s">
        <v>36</v>
      </c>
      <c r="F61">
        <v>93149977</v>
      </c>
      <c r="G61" s="1">
        <v>104949000000</v>
      </c>
      <c r="H61">
        <v>6.34</v>
      </c>
      <c r="I61">
        <v>6.01</v>
      </c>
      <c r="J61">
        <v>64.52</v>
      </c>
      <c r="K61">
        <v>-0.33</v>
      </c>
      <c r="L61">
        <v>-5.4909999999999997</v>
      </c>
      <c r="M61">
        <v>0</v>
      </c>
      <c r="N61">
        <v>0</v>
      </c>
      <c r="O61">
        <v>0</v>
      </c>
      <c r="P61">
        <v>0</v>
      </c>
      <c r="Q61">
        <v>0</v>
      </c>
      <c r="R61">
        <v>0</v>
      </c>
      <c r="S61">
        <v>64.308999999999997</v>
      </c>
      <c r="T61">
        <v>6.29</v>
      </c>
      <c r="U61">
        <v>99.210999999999999</v>
      </c>
      <c r="V61">
        <v>0.05</v>
      </c>
      <c r="W61">
        <v>0.78900000000000003</v>
      </c>
      <c r="X61">
        <v>383.19499999999999</v>
      </c>
      <c r="Y61">
        <v>0.19</v>
      </c>
      <c r="Z61">
        <v>31952763089</v>
      </c>
    </row>
    <row r="62" spans="1:26" hidden="1">
      <c r="A62" t="s">
        <v>33</v>
      </c>
      <c r="B62">
        <v>2012</v>
      </c>
      <c r="C62" t="s">
        <v>34</v>
      </c>
      <c r="D62" t="s">
        <v>35</v>
      </c>
      <c r="E62" t="s">
        <v>36</v>
      </c>
      <c r="F62">
        <v>95798771</v>
      </c>
      <c r="G62" s="1">
        <v>116345000000</v>
      </c>
      <c r="H62">
        <v>7.57</v>
      </c>
      <c r="I62">
        <v>7.01</v>
      </c>
      <c r="J62">
        <v>73.174000000000007</v>
      </c>
      <c r="K62">
        <v>-0.56000000000000005</v>
      </c>
      <c r="L62">
        <v>-7.9889999999999999</v>
      </c>
      <c r="M62">
        <v>0</v>
      </c>
      <c r="N62">
        <v>0</v>
      </c>
      <c r="O62">
        <v>0</v>
      </c>
      <c r="P62">
        <v>0</v>
      </c>
      <c r="Q62">
        <v>0</v>
      </c>
      <c r="R62">
        <v>0</v>
      </c>
      <c r="S62">
        <v>66.138000000000005</v>
      </c>
      <c r="T62">
        <v>7.55</v>
      </c>
      <c r="U62">
        <v>99.736000000000004</v>
      </c>
      <c r="V62">
        <v>0.02</v>
      </c>
      <c r="W62">
        <v>0.26400000000000001</v>
      </c>
      <c r="X62">
        <v>408.92</v>
      </c>
      <c r="Y62">
        <v>0.19</v>
      </c>
      <c r="Z62">
        <v>43310721414</v>
      </c>
    </row>
    <row r="63" spans="1:26" hidden="1">
      <c r="A63" t="s">
        <v>33</v>
      </c>
      <c r="B63">
        <v>2013</v>
      </c>
      <c r="C63" t="s">
        <v>34</v>
      </c>
      <c r="D63" t="s">
        <v>35</v>
      </c>
      <c r="E63" t="s">
        <v>36</v>
      </c>
      <c r="F63">
        <v>98438752</v>
      </c>
      <c r="G63" s="1">
        <v>128310000000</v>
      </c>
      <c r="H63">
        <v>8.67</v>
      </c>
      <c r="I63">
        <v>8.0299999999999994</v>
      </c>
      <c r="J63">
        <v>81.573999999999998</v>
      </c>
      <c r="K63">
        <v>-0.64</v>
      </c>
      <c r="L63">
        <v>-7.97</v>
      </c>
      <c r="M63">
        <v>0</v>
      </c>
      <c r="N63">
        <v>0</v>
      </c>
      <c r="O63">
        <v>0</v>
      </c>
      <c r="P63">
        <v>0</v>
      </c>
      <c r="Q63">
        <v>0</v>
      </c>
      <c r="R63">
        <v>0</v>
      </c>
      <c r="S63">
        <v>67.960999999999999</v>
      </c>
      <c r="T63">
        <v>8.66</v>
      </c>
      <c r="U63">
        <v>99.885000000000005</v>
      </c>
      <c r="V63">
        <v>0.01</v>
      </c>
      <c r="W63">
        <v>0.115</v>
      </c>
      <c r="X63">
        <v>466.46699999999998</v>
      </c>
      <c r="Y63">
        <v>0.22</v>
      </c>
      <c r="Z63">
        <v>47648276605</v>
      </c>
    </row>
    <row r="64" spans="1:26" hidden="1">
      <c r="A64" t="s">
        <v>33</v>
      </c>
      <c r="B64">
        <v>2014</v>
      </c>
      <c r="C64" t="s">
        <v>34</v>
      </c>
      <c r="D64" t="s">
        <v>35</v>
      </c>
      <c r="E64" t="s">
        <v>36</v>
      </c>
      <c r="F64">
        <v>101115615</v>
      </c>
      <c r="G64" s="1">
        <v>141951000000</v>
      </c>
      <c r="H64">
        <v>9.4700000000000006</v>
      </c>
      <c r="I64">
        <v>8.7100000000000009</v>
      </c>
      <c r="J64">
        <v>86.138999999999996</v>
      </c>
      <c r="K64">
        <v>-0.76</v>
      </c>
      <c r="L64">
        <v>-8.7260000000000009</v>
      </c>
      <c r="M64">
        <v>0</v>
      </c>
      <c r="N64">
        <v>0</v>
      </c>
      <c r="O64">
        <v>0</v>
      </c>
      <c r="P64">
        <v>0</v>
      </c>
      <c r="Q64">
        <v>0</v>
      </c>
      <c r="R64">
        <v>0</v>
      </c>
      <c r="S64">
        <v>69.808999999999997</v>
      </c>
      <c r="T64">
        <v>9.4700000000000006</v>
      </c>
      <c r="U64">
        <v>100</v>
      </c>
      <c r="V64">
        <v>0</v>
      </c>
      <c r="W64">
        <v>0</v>
      </c>
      <c r="X64">
        <v>521.37699999999995</v>
      </c>
      <c r="Y64">
        <v>0.22</v>
      </c>
      <c r="Z64">
        <v>55612228234</v>
      </c>
    </row>
    <row r="65" spans="1:26" hidden="1">
      <c r="A65" t="s">
        <v>33</v>
      </c>
      <c r="B65">
        <v>2015</v>
      </c>
      <c r="C65" t="s">
        <v>34</v>
      </c>
      <c r="D65" t="s">
        <v>35</v>
      </c>
      <c r="E65" t="s">
        <v>36</v>
      </c>
      <c r="F65">
        <v>103867140</v>
      </c>
      <c r="G65" s="1">
        <v>157107000000</v>
      </c>
      <c r="H65">
        <v>10.39</v>
      </c>
      <c r="I65">
        <v>9.69</v>
      </c>
      <c r="J65">
        <v>93.292000000000002</v>
      </c>
      <c r="K65">
        <v>-0.7</v>
      </c>
      <c r="L65">
        <v>-7.2240000000000002</v>
      </c>
      <c r="M65">
        <v>0</v>
      </c>
      <c r="N65">
        <v>0</v>
      </c>
      <c r="O65">
        <v>0</v>
      </c>
      <c r="P65">
        <v>0</v>
      </c>
      <c r="Q65">
        <v>0</v>
      </c>
      <c r="R65">
        <v>0</v>
      </c>
      <c r="S65">
        <v>71.707999999999998</v>
      </c>
      <c r="T65">
        <v>10.39</v>
      </c>
      <c r="U65">
        <v>100</v>
      </c>
      <c r="V65">
        <v>0</v>
      </c>
      <c r="W65">
        <v>0</v>
      </c>
      <c r="X65">
        <v>533.245</v>
      </c>
      <c r="Y65">
        <v>0.25</v>
      </c>
      <c r="Z65">
        <v>62103418182</v>
      </c>
    </row>
    <row r="66" spans="1:26" hidden="1">
      <c r="A66" t="s">
        <v>33</v>
      </c>
      <c r="B66">
        <v>2016</v>
      </c>
      <c r="C66" t="s">
        <v>34</v>
      </c>
      <c r="D66" t="s">
        <v>35</v>
      </c>
      <c r="E66" t="s">
        <v>36</v>
      </c>
      <c r="F66">
        <v>106718163</v>
      </c>
      <c r="G66" s="1">
        <v>173709000000</v>
      </c>
      <c r="H66">
        <v>12.47</v>
      </c>
      <c r="I66">
        <v>11.17</v>
      </c>
      <c r="J66">
        <v>104.66800000000001</v>
      </c>
      <c r="K66">
        <v>-1.3</v>
      </c>
      <c r="L66">
        <v>-11.638</v>
      </c>
      <c r="M66">
        <v>0</v>
      </c>
      <c r="N66">
        <v>0</v>
      </c>
      <c r="O66">
        <v>0</v>
      </c>
      <c r="P66">
        <v>0</v>
      </c>
      <c r="Q66">
        <v>0</v>
      </c>
      <c r="R66">
        <v>0</v>
      </c>
      <c r="S66">
        <v>73.677000000000007</v>
      </c>
      <c r="T66">
        <v>12.47</v>
      </c>
      <c r="U66">
        <v>100</v>
      </c>
      <c r="V66">
        <v>0</v>
      </c>
      <c r="W66">
        <v>0</v>
      </c>
      <c r="X66">
        <v>597.66800000000001</v>
      </c>
      <c r="Y66">
        <v>0.3</v>
      </c>
      <c r="Z66">
        <v>68475871210</v>
      </c>
    </row>
    <row r="67" spans="1:26" hidden="1">
      <c r="A67" t="s">
        <v>33</v>
      </c>
      <c r="B67">
        <v>2017</v>
      </c>
      <c r="C67" t="s">
        <v>34</v>
      </c>
      <c r="D67" t="s">
        <v>35</v>
      </c>
      <c r="E67" t="s">
        <v>36</v>
      </c>
      <c r="F67">
        <v>109666482</v>
      </c>
      <c r="G67" s="1">
        <v>190762000000</v>
      </c>
      <c r="H67">
        <v>13.12</v>
      </c>
      <c r="I67">
        <v>11.69</v>
      </c>
      <c r="J67">
        <v>106.596</v>
      </c>
      <c r="K67">
        <v>-1.43</v>
      </c>
      <c r="L67">
        <v>-12.233000000000001</v>
      </c>
      <c r="M67">
        <v>0</v>
      </c>
      <c r="N67">
        <v>0</v>
      </c>
      <c r="O67">
        <v>0</v>
      </c>
      <c r="P67">
        <v>0</v>
      </c>
      <c r="Q67">
        <v>0</v>
      </c>
      <c r="R67">
        <v>0</v>
      </c>
      <c r="S67">
        <v>75.712000000000003</v>
      </c>
      <c r="T67">
        <v>13.12</v>
      </c>
      <c r="U67">
        <v>100</v>
      </c>
      <c r="V67">
        <v>0</v>
      </c>
      <c r="W67">
        <v>0</v>
      </c>
      <c r="X67">
        <v>581.11</v>
      </c>
      <c r="Y67">
        <v>0.31</v>
      </c>
      <c r="Z67">
        <v>76366081767</v>
      </c>
    </row>
    <row r="68" spans="1:26" hidden="1">
      <c r="A68" t="s">
        <v>33</v>
      </c>
      <c r="B68">
        <v>2018</v>
      </c>
      <c r="C68" t="s">
        <v>34</v>
      </c>
      <c r="D68" t="s">
        <v>35</v>
      </c>
      <c r="E68" t="s">
        <v>36</v>
      </c>
      <c r="F68">
        <v>112664157</v>
      </c>
      <c r="G68" s="1">
        <v>206206000000</v>
      </c>
      <c r="H68">
        <v>14.23</v>
      </c>
      <c r="I68">
        <v>13.23</v>
      </c>
      <c r="J68">
        <v>117.429</v>
      </c>
      <c r="K68">
        <v>-1</v>
      </c>
      <c r="L68">
        <v>-7.5590000000000002</v>
      </c>
      <c r="M68">
        <v>0</v>
      </c>
      <c r="N68">
        <v>0</v>
      </c>
      <c r="O68">
        <v>0</v>
      </c>
      <c r="P68">
        <v>0</v>
      </c>
      <c r="Q68">
        <v>0</v>
      </c>
      <c r="R68">
        <v>0</v>
      </c>
      <c r="S68">
        <v>77.781999999999996</v>
      </c>
      <c r="T68">
        <v>14.23</v>
      </c>
      <c r="U68">
        <v>100</v>
      </c>
      <c r="V68">
        <v>0</v>
      </c>
      <c r="W68">
        <v>0</v>
      </c>
      <c r="X68">
        <v>614.36800000000005</v>
      </c>
      <c r="Y68">
        <v>0.34</v>
      </c>
      <c r="Z68">
        <v>83337901072</v>
      </c>
    </row>
    <row r="69" spans="1:26" hidden="1">
      <c r="A69" t="s">
        <v>33</v>
      </c>
      <c r="B69">
        <v>2019</v>
      </c>
      <c r="C69" t="s">
        <v>34</v>
      </c>
      <c r="D69" t="s">
        <v>35</v>
      </c>
      <c r="E69" t="s">
        <v>36</v>
      </c>
      <c r="F69">
        <v>115737384</v>
      </c>
      <c r="G69" s="1">
        <v>221885000000</v>
      </c>
      <c r="H69">
        <v>15.31</v>
      </c>
      <c r="I69">
        <v>14.17</v>
      </c>
      <c r="J69">
        <v>122.432</v>
      </c>
      <c r="K69">
        <v>-1.1399999999999999</v>
      </c>
      <c r="L69">
        <v>-8.0449999999999999</v>
      </c>
      <c r="M69">
        <v>0</v>
      </c>
      <c r="N69">
        <v>0</v>
      </c>
      <c r="O69">
        <v>0</v>
      </c>
      <c r="P69">
        <v>0</v>
      </c>
      <c r="Q69">
        <v>0</v>
      </c>
      <c r="R69">
        <v>0</v>
      </c>
      <c r="S69">
        <v>79.903000000000006</v>
      </c>
      <c r="T69">
        <v>15.3</v>
      </c>
      <c r="U69">
        <v>99.935000000000002</v>
      </c>
      <c r="V69">
        <v>0.01</v>
      </c>
      <c r="W69">
        <v>6.5000000000000002E-2</v>
      </c>
      <c r="X69">
        <v>688.22699999999998</v>
      </c>
      <c r="Y69">
        <v>0.37</v>
      </c>
      <c r="Z69">
        <v>91834517114</v>
      </c>
    </row>
    <row r="70" spans="1:26" hidden="1">
      <c r="A70" t="s">
        <v>33</v>
      </c>
      <c r="B70">
        <v>2020</v>
      </c>
      <c r="C70" t="s">
        <v>34</v>
      </c>
      <c r="D70" t="s">
        <v>35</v>
      </c>
      <c r="E70" t="s">
        <v>36</v>
      </c>
      <c r="F70">
        <v>118917670</v>
      </c>
      <c r="G70" s="1">
        <v>237860000000</v>
      </c>
      <c r="H70">
        <v>15.62</v>
      </c>
      <c r="I70">
        <v>13.98</v>
      </c>
      <c r="J70">
        <v>117.56</v>
      </c>
      <c r="K70">
        <v>-1.64</v>
      </c>
      <c r="L70">
        <v>-11.731</v>
      </c>
      <c r="M70">
        <v>0</v>
      </c>
      <c r="N70">
        <v>0</v>
      </c>
      <c r="O70">
        <v>0</v>
      </c>
      <c r="P70">
        <v>0</v>
      </c>
      <c r="Q70">
        <v>0</v>
      </c>
      <c r="R70">
        <v>0</v>
      </c>
      <c r="S70">
        <v>82.099000000000004</v>
      </c>
      <c r="T70">
        <v>15.61</v>
      </c>
      <c r="U70">
        <v>99.936000000000007</v>
      </c>
      <c r="V70">
        <v>0.01</v>
      </c>
      <c r="W70">
        <v>6.4000000000000001E-2</v>
      </c>
      <c r="X70">
        <v>576.79300000000001</v>
      </c>
      <c r="Y70">
        <v>0.38</v>
      </c>
      <c r="Z70">
        <v>98676811062</v>
      </c>
    </row>
    <row r="71" spans="1:26" hidden="1">
      <c r="A71" t="s">
        <v>33</v>
      </c>
      <c r="B71">
        <v>2021</v>
      </c>
      <c r="C71" t="s">
        <v>34</v>
      </c>
      <c r="D71" t="s">
        <v>35</v>
      </c>
      <c r="E71" t="s">
        <v>36</v>
      </c>
      <c r="F71">
        <v>122138588</v>
      </c>
      <c r="G71" s="1">
        <v>251850000000</v>
      </c>
      <c r="H71">
        <v>15.78</v>
      </c>
      <c r="I71">
        <v>14.12</v>
      </c>
      <c r="J71">
        <v>115.60599999999999</v>
      </c>
      <c r="K71">
        <v>-1.66</v>
      </c>
      <c r="L71">
        <v>-11.756</v>
      </c>
      <c r="M71">
        <v>0</v>
      </c>
      <c r="N71">
        <v>0</v>
      </c>
      <c r="O71">
        <v>0</v>
      </c>
      <c r="P71">
        <v>0</v>
      </c>
      <c r="Q71">
        <v>0</v>
      </c>
      <c r="R71">
        <v>0</v>
      </c>
      <c r="S71">
        <v>84.322999999999993</v>
      </c>
      <c r="T71">
        <v>15.78</v>
      </c>
      <c r="U71">
        <v>100</v>
      </c>
      <c r="V71">
        <v>0</v>
      </c>
      <c r="W71">
        <v>0</v>
      </c>
      <c r="X71">
        <v>585.11800000000005</v>
      </c>
      <c r="Y71">
        <v>0.36</v>
      </c>
      <c r="Z71" s="1">
        <v>109071000000</v>
      </c>
    </row>
    <row r="72" spans="1:26" hidden="1">
      <c r="A72" t="s">
        <v>33</v>
      </c>
      <c r="B72">
        <v>2022</v>
      </c>
      <c r="C72" t="s">
        <v>34</v>
      </c>
      <c r="D72" t="s">
        <v>35</v>
      </c>
      <c r="E72" t="s">
        <v>36</v>
      </c>
      <c r="F72">
        <v>125384285</v>
      </c>
      <c r="G72" s="1">
        <v>269977000000</v>
      </c>
      <c r="H72">
        <v>17.41</v>
      </c>
      <c r="I72">
        <v>15.66</v>
      </c>
      <c r="J72">
        <v>124.896</v>
      </c>
      <c r="K72">
        <v>-1.75</v>
      </c>
      <c r="L72">
        <v>-11.175000000000001</v>
      </c>
      <c r="M72">
        <v>0</v>
      </c>
      <c r="N72">
        <v>0</v>
      </c>
      <c r="O72">
        <v>0</v>
      </c>
      <c r="P72">
        <v>0</v>
      </c>
      <c r="Q72">
        <v>0</v>
      </c>
      <c r="R72">
        <v>0</v>
      </c>
      <c r="S72">
        <v>86.563000000000002</v>
      </c>
      <c r="T72">
        <v>17.41</v>
      </c>
      <c r="U72">
        <v>100</v>
      </c>
      <c r="V72">
        <v>0</v>
      </c>
      <c r="W72">
        <v>0</v>
      </c>
      <c r="X72">
        <v>642.37800000000004</v>
      </c>
      <c r="Y72">
        <v>0.41</v>
      </c>
      <c r="Z72" s="1">
        <v>123140000000</v>
      </c>
    </row>
    <row r="73" spans="1:26" hidden="1">
      <c r="A73" t="s">
        <v>33</v>
      </c>
      <c r="B73">
        <v>2023</v>
      </c>
      <c r="C73" t="s">
        <v>34</v>
      </c>
      <c r="D73" t="s">
        <v>35</v>
      </c>
      <c r="E73" t="s">
        <v>36</v>
      </c>
      <c r="F73">
        <v>128691695</v>
      </c>
      <c r="G73" s="1">
        <v>313053000000</v>
      </c>
      <c r="H73">
        <v>17.77</v>
      </c>
      <c r="I73">
        <v>15.99</v>
      </c>
      <c r="J73">
        <v>124.25</v>
      </c>
      <c r="K73">
        <v>-1.78</v>
      </c>
      <c r="L73">
        <v>-11.132</v>
      </c>
      <c r="M73">
        <v>0</v>
      </c>
      <c r="N73">
        <v>0</v>
      </c>
      <c r="O73">
        <v>0</v>
      </c>
      <c r="P73">
        <v>0</v>
      </c>
      <c r="Q73">
        <v>0</v>
      </c>
      <c r="R73">
        <v>0</v>
      </c>
      <c r="S73">
        <v>88.846999999999994</v>
      </c>
      <c r="T73">
        <v>17.77</v>
      </c>
      <c r="U73">
        <v>100</v>
      </c>
      <c r="V73">
        <v>0</v>
      </c>
      <c r="W73">
        <v>0</v>
      </c>
      <c r="X73">
        <v>693.36099999999999</v>
      </c>
      <c r="Y73">
        <v>0.42</v>
      </c>
      <c r="Z73" s="1">
        <v>135874000000</v>
      </c>
    </row>
    <row r="74" spans="1:26" hidden="1">
      <c r="A74" t="s">
        <v>37</v>
      </c>
      <c r="B74">
        <v>2000</v>
      </c>
      <c r="C74" t="s">
        <v>38</v>
      </c>
      <c r="D74" t="s">
        <v>28</v>
      </c>
      <c r="E74" t="s">
        <v>29</v>
      </c>
      <c r="F74">
        <v>66418661</v>
      </c>
      <c r="G74" s="1">
        <v>595555000000</v>
      </c>
      <c r="H74">
        <v>119.35</v>
      </c>
      <c r="I74">
        <v>118.67</v>
      </c>
      <c r="J74">
        <v>1786.6969999999999</v>
      </c>
      <c r="K74">
        <v>-0.68</v>
      </c>
      <c r="L74">
        <v>-0.57299999999999995</v>
      </c>
      <c r="M74">
        <v>563.36599999999999</v>
      </c>
      <c r="N74">
        <v>594.40899999999999</v>
      </c>
      <c r="O74">
        <v>8482.0450000000001</v>
      </c>
      <c r="P74">
        <v>68.337000000000003</v>
      </c>
      <c r="Q74">
        <v>42.582999999999998</v>
      </c>
      <c r="R74">
        <v>2229.067</v>
      </c>
      <c r="S74">
        <v>775.71100000000001</v>
      </c>
      <c r="T74">
        <v>3.82</v>
      </c>
      <c r="U74">
        <v>3.2010000000000001</v>
      </c>
      <c r="V74">
        <v>115.53</v>
      </c>
      <c r="W74">
        <v>96.799000000000007</v>
      </c>
      <c r="X74">
        <v>21026.74</v>
      </c>
      <c r="Y74">
        <v>79.66</v>
      </c>
      <c r="Z74" s="1">
        <v>109592000000</v>
      </c>
    </row>
    <row r="75" spans="1:26" hidden="1">
      <c r="A75" t="s">
        <v>37</v>
      </c>
      <c r="B75">
        <v>2001</v>
      </c>
      <c r="C75" t="s">
        <v>38</v>
      </c>
      <c r="D75" t="s">
        <v>28</v>
      </c>
      <c r="E75" t="s">
        <v>29</v>
      </c>
      <c r="F75">
        <v>67452005</v>
      </c>
      <c r="G75" s="1">
        <v>636570000000</v>
      </c>
      <c r="H75">
        <v>127.59</v>
      </c>
      <c r="I75">
        <v>127.29</v>
      </c>
      <c r="J75">
        <v>1887.12</v>
      </c>
      <c r="K75">
        <v>-0.3</v>
      </c>
      <c r="L75">
        <v>-0.23599999999999999</v>
      </c>
      <c r="M75">
        <v>626.05200000000002</v>
      </c>
      <c r="N75">
        <v>665.327</v>
      </c>
      <c r="O75">
        <v>9281.4490000000005</v>
      </c>
      <c r="P75">
        <v>70.147000000000006</v>
      </c>
      <c r="Q75">
        <v>44.610999999999997</v>
      </c>
      <c r="R75">
        <v>2207.4319999999998</v>
      </c>
      <c r="S75">
        <v>799.74400000000003</v>
      </c>
      <c r="T75">
        <v>4.1500000000000004</v>
      </c>
      <c r="U75">
        <v>3.2530000000000001</v>
      </c>
      <c r="V75">
        <v>123.44</v>
      </c>
      <c r="W75">
        <v>96.747</v>
      </c>
      <c r="X75">
        <v>22121.530999999999</v>
      </c>
      <c r="Y75">
        <v>85.2</v>
      </c>
      <c r="Z75" s="1">
        <v>126879000000</v>
      </c>
    </row>
    <row r="76" spans="1:26" hidden="1">
      <c r="A76" t="s">
        <v>37</v>
      </c>
      <c r="B76">
        <v>2002</v>
      </c>
      <c r="C76" t="s">
        <v>38</v>
      </c>
      <c r="D76" t="s">
        <v>28</v>
      </c>
      <c r="E76" t="s">
        <v>29</v>
      </c>
      <c r="F76">
        <v>68011318</v>
      </c>
      <c r="G76" s="1">
        <v>698060000000</v>
      </c>
      <c r="H76">
        <v>138.22999999999999</v>
      </c>
      <c r="I76">
        <v>138.41</v>
      </c>
      <c r="J76">
        <v>2035.1030000000001</v>
      </c>
      <c r="K76">
        <v>0.18</v>
      </c>
      <c r="L76">
        <v>0.13</v>
      </c>
      <c r="M76">
        <v>744.471</v>
      </c>
      <c r="N76">
        <v>782.20299999999997</v>
      </c>
      <c r="O76">
        <v>10946.287</v>
      </c>
      <c r="P76">
        <v>70.924999999999997</v>
      </c>
      <c r="Q76">
        <v>48.137999999999998</v>
      </c>
      <c r="R76">
        <v>2083.1979999999999</v>
      </c>
      <c r="S76">
        <v>806.60900000000004</v>
      </c>
      <c r="T76">
        <v>8.0399999999999991</v>
      </c>
      <c r="U76">
        <v>5.8159999999999998</v>
      </c>
      <c r="V76">
        <v>130.19</v>
      </c>
      <c r="W76">
        <v>94.183999999999997</v>
      </c>
      <c r="X76">
        <v>23913.190999999999</v>
      </c>
      <c r="Y76">
        <v>90.1</v>
      </c>
      <c r="Z76" s="1">
        <v>128627000000</v>
      </c>
    </row>
    <row r="77" spans="1:26" hidden="1">
      <c r="A77" t="s">
        <v>37</v>
      </c>
      <c r="B77">
        <v>2003</v>
      </c>
      <c r="C77" t="s">
        <v>38</v>
      </c>
      <c r="D77" t="s">
        <v>28</v>
      </c>
      <c r="E77" t="s">
        <v>29</v>
      </c>
      <c r="F77">
        <v>68769343</v>
      </c>
      <c r="G77" s="1">
        <v>779970000000</v>
      </c>
      <c r="H77">
        <v>151.65</v>
      </c>
      <c r="I77">
        <v>152.22</v>
      </c>
      <c r="J77">
        <v>2213.4859999999999</v>
      </c>
      <c r="K77">
        <v>0.56999999999999995</v>
      </c>
      <c r="L77">
        <v>0.374</v>
      </c>
      <c r="M77">
        <v>780.87599999999998</v>
      </c>
      <c r="N77">
        <v>802.76700000000005</v>
      </c>
      <c r="O77">
        <v>11355.004999999999</v>
      </c>
      <c r="P77">
        <v>72.436999999999998</v>
      </c>
      <c r="Q77">
        <v>48.52</v>
      </c>
      <c r="R77">
        <v>2350.3040000000001</v>
      </c>
      <c r="S77">
        <v>810.28399999999999</v>
      </c>
      <c r="T77">
        <v>9.6199999999999992</v>
      </c>
      <c r="U77">
        <v>6.3440000000000003</v>
      </c>
      <c r="V77">
        <v>142.03</v>
      </c>
      <c r="W77">
        <v>93.656000000000006</v>
      </c>
      <c r="X77">
        <v>24083.326000000001</v>
      </c>
      <c r="Y77">
        <v>98.42</v>
      </c>
      <c r="Z77" s="1">
        <v>151911000000</v>
      </c>
    </row>
    <row r="78" spans="1:26" hidden="1">
      <c r="A78" t="s">
        <v>37</v>
      </c>
      <c r="B78">
        <v>2004</v>
      </c>
      <c r="C78" t="s">
        <v>38</v>
      </c>
      <c r="D78" t="s">
        <v>28</v>
      </c>
      <c r="E78" t="s">
        <v>29</v>
      </c>
      <c r="F78">
        <v>70256316</v>
      </c>
      <c r="G78" s="1">
        <v>849442000000</v>
      </c>
      <c r="H78">
        <v>162.76</v>
      </c>
      <c r="I78">
        <v>163.09</v>
      </c>
      <c r="J78">
        <v>2321.357</v>
      </c>
      <c r="K78">
        <v>0.33</v>
      </c>
      <c r="L78">
        <v>0.20200000000000001</v>
      </c>
      <c r="M78">
        <v>910.40099999999995</v>
      </c>
      <c r="N78">
        <v>932.56</v>
      </c>
      <c r="O78">
        <v>12958.284</v>
      </c>
      <c r="P78">
        <v>70.417000000000002</v>
      </c>
      <c r="Q78">
        <v>50.962000000000003</v>
      </c>
      <c r="R78">
        <v>2428.7240000000002</v>
      </c>
      <c r="S78">
        <v>848.90599999999995</v>
      </c>
      <c r="T78">
        <v>11.98</v>
      </c>
      <c r="U78">
        <v>7.3609999999999998</v>
      </c>
      <c r="V78">
        <v>150.78</v>
      </c>
      <c r="W78">
        <v>92.638999999999996</v>
      </c>
      <c r="X78">
        <v>26075.348000000002</v>
      </c>
      <c r="Y78">
        <v>104.42</v>
      </c>
      <c r="Z78" s="1">
        <v>187755000000</v>
      </c>
    </row>
    <row r="79" spans="1:26" hidden="1">
      <c r="A79" t="s">
        <v>37</v>
      </c>
      <c r="B79">
        <v>2005</v>
      </c>
      <c r="C79" t="s">
        <v>38</v>
      </c>
      <c r="D79" t="s">
        <v>28</v>
      </c>
      <c r="E79" t="s">
        <v>29</v>
      </c>
      <c r="F79">
        <v>71828455</v>
      </c>
      <c r="G79" s="1">
        <v>908856000000</v>
      </c>
      <c r="H79">
        <v>177.07</v>
      </c>
      <c r="I79">
        <v>176.39</v>
      </c>
      <c r="J79">
        <v>2455.712</v>
      </c>
      <c r="K79">
        <v>-0.68</v>
      </c>
      <c r="L79">
        <v>-0.38600000000000001</v>
      </c>
      <c r="M79">
        <v>966.125</v>
      </c>
      <c r="N79">
        <v>970.46900000000005</v>
      </c>
      <c r="O79">
        <v>13450.453</v>
      </c>
      <c r="P79">
        <v>70.355999999999995</v>
      </c>
      <c r="Q79">
        <v>50.082000000000001</v>
      </c>
      <c r="R79">
        <v>2417.5410000000002</v>
      </c>
      <c r="S79">
        <v>910.154</v>
      </c>
      <c r="T79">
        <v>14.52</v>
      </c>
      <c r="U79">
        <v>8.1999999999999993</v>
      </c>
      <c r="V79">
        <v>162.55000000000001</v>
      </c>
      <c r="W79">
        <v>91.8</v>
      </c>
      <c r="X79">
        <v>27012.971000000001</v>
      </c>
      <c r="Y79">
        <v>112.67</v>
      </c>
      <c r="Z79" s="1">
        <v>224970000000</v>
      </c>
    </row>
    <row r="80" spans="1:26" hidden="1">
      <c r="A80" t="s">
        <v>37</v>
      </c>
      <c r="B80">
        <v>2006</v>
      </c>
      <c r="C80" t="s">
        <v>38</v>
      </c>
      <c r="D80" t="s">
        <v>28</v>
      </c>
      <c r="E80" t="s">
        <v>29</v>
      </c>
      <c r="F80">
        <v>73392747</v>
      </c>
      <c r="G80" s="1">
        <v>995245000000</v>
      </c>
      <c r="H80">
        <v>193.43</v>
      </c>
      <c r="I80">
        <v>193.2</v>
      </c>
      <c r="J80">
        <v>2632.413</v>
      </c>
      <c r="K80">
        <v>-0.23</v>
      </c>
      <c r="L80">
        <v>-0.11899999999999999</v>
      </c>
      <c r="M80">
        <v>1052.7729999999999</v>
      </c>
      <c r="N80">
        <v>1057.8399999999999</v>
      </c>
      <c r="O80">
        <v>14344.37</v>
      </c>
      <c r="P80">
        <v>64.685000000000002</v>
      </c>
      <c r="Q80">
        <v>49.966999999999999</v>
      </c>
      <c r="R80">
        <v>2449.5309999999999</v>
      </c>
      <c r="S80">
        <v>991.93399999999997</v>
      </c>
      <c r="T80">
        <v>18.64</v>
      </c>
      <c r="U80">
        <v>9.6370000000000005</v>
      </c>
      <c r="V80">
        <v>174.79</v>
      </c>
      <c r="W80">
        <v>90.363</v>
      </c>
      <c r="X80">
        <v>28889.373</v>
      </c>
      <c r="Y80">
        <v>120.84</v>
      </c>
      <c r="Z80" s="1">
        <v>265602000000</v>
      </c>
    </row>
    <row r="81" spans="1:26" hidden="1">
      <c r="A81" t="s">
        <v>37</v>
      </c>
      <c r="B81">
        <v>2007</v>
      </c>
      <c r="C81" t="s">
        <v>38</v>
      </c>
      <c r="D81" t="s">
        <v>28</v>
      </c>
      <c r="E81" t="s">
        <v>29</v>
      </c>
      <c r="F81">
        <v>74602648</v>
      </c>
      <c r="G81" s="1">
        <v>1098780000000</v>
      </c>
      <c r="H81">
        <v>203.12</v>
      </c>
      <c r="I81">
        <v>202.44</v>
      </c>
      <c r="J81">
        <v>2713.5770000000002</v>
      </c>
      <c r="K81">
        <v>-0.68</v>
      </c>
      <c r="L81">
        <v>-0.33600000000000002</v>
      </c>
      <c r="M81">
        <v>1180.144</v>
      </c>
      <c r="N81">
        <v>1185.5219999999999</v>
      </c>
      <c r="O81">
        <v>15819.066999999999</v>
      </c>
      <c r="P81">
        <v>68.308999999999997</v>
      </c>
      <c r="Q81">
        <v>52.667999999999999</v>
      </c>
      <c r="R81">
        <v>2480.1640000000002</v>
      </c>
      <c r="S81">
        <v>999.07399999999996</v>
      </c>
      <c r="T81">
        <v>18.100000000000001</v>
      </c>
      <c r="U81">
        <v>8.9109999999999996</v>
      </c>
      <c r="V81">
        <v>185.02</v>
      </c>
      <c r="W81">
        <v>91.088999999999999</v>
      </c>
      <c r="X81">
        <v>30213.291000000001</v>
      </c>
      <c r="Y81">
        <v>128.13999999999999</v>
      </c>
      <c r="Z81" s="1">
        <v>349737000000</v>
      </c>
    </row>
    <row r="82" spans="1:26" hidden="1">
      <c r="A82" t="s">
        <v>37</v>
      </c>
      <c r="B82">
        <v>2008</v>
      </c>
      <c r="C82" t="s">
        <v>38</v>
      </c>
      <c r="D82" t="s">
        <v>28</v>
      </c>
      <c r="E82" t="s">
        <v>29</v>
      </c>
      <c r="F82">
        <v>75514201</v>
      </c>
      <c r="G82" s="1">
        <v>1132370000000</v>
      </c>
      <c r="H82">
        <v>210.49</v>
      </c>
      <c r="I82">
        <v>208.3</v>
      </c>
      <c r="J82">
        <v>2758.422</v>
      </c>
      <c r="K82">
        <v>-2.19</v>
      </c>
      <c r="L82">
        <v>-1.0509999999999999</v>
      </c>
      <c r="M82">
        <v>1235.674</v>
      </c>
      <c r="N82">
        <v>1257.867</v>
      </c>
      <c r="O82">
        <v>16363.468000000001</v>
      </c>
      <c r="P82">
        <v>64.165000000000006</v>
      </c>
      <c r="Q82">
        <v>54.17</v>
      </c>
      <c r="R82">
        <v>2505.3980000000001</v>
      </c>
      <c r="S82">
        <v>1029.7059999999999</v>
      </c>
      <c r="T82">
        <v>7.64</v>
      </c>
      <c r="U82">
        <v>3.63</v>
      </c>
      <c r="V82">
        <v>202.85</v>
      </c>
      <c r="W82">
        <v>96.37</v>
      </c>
      <c r="X82">
        <v>30767.291000000001</v>
      </c>
      <c r="Y82">
        <v>139.41999999999999</v>
      </c>
      <c r="Z82" s="1">
        <v>406071000000</v>
      </c>
    </row>
    <row r="83" spans="1:26" hidden="1">
      <c r="A83" t="s">
        <v>37</v>
      </c>
      <c r="B83">
        <v>2009</v>
      </c>
      <c r="C83" t="s">
        <v>38</v>
      </c>
      <c r="D83" t="s">
        <v>28</v>
      </c>
      <c r="E83" t="s">
        <v>29</v>
      </c>
      <c r="F83">
        <v>76457831</v>
      </c>
      <c r="G83" s="1">
        <v>1208130000000</v>
      </c>
      <c r="H83">
        <v>221.81</v>
      </c>
      <c r="I83">
        <v>217.73</v>
      </c>
      <c r="J83">
        <v>2847.7130000000002</v>
      </c>
      <c r="K83">
        <v>-4.08</v>
      </c>
      <c r="L83">
        <v>-1.8740000000000001</v>
      </c>
      <c r="M83">
        <v>1357.356</v>
      </c>
      <c r="N83">
        <v>1347.944</v>
      </c>
      <c r="O83">
        <v>17753.002</v>
      </c>
      <c r="P83">
        <v>67.358999999999995</v>
      </c>
      <c r="Q83">
        <v>56.680999999999997</v>
      </c>
      <c r="R83">
        <v>2409.96</v>
      </c>
      <c r="S83">
        <v>1002.677</v>
      </c>
      <c r="T83">
        <v>6.95</v>
      </c>
      <c r="U83">
        <v>3.133</v>
      </c>
      <c r="V83">
        <v>214.86</v>
      </c>
      <c r="W83">
        <v>96.867000000000004</v>
      </c>
      <c r="X83">
        <v>31118.98</v>
      </c>
      <c r="Y83">
        <v>147.91</v>
      </c>
      <c r="Z83" s="1">
        <v>414059000000</v>
      </c>
    </row>
    <row r="84" spans="1:26" hidden="1">
      <c r="A84" t="s">
        <v>37</v>
      </c>
      <c r="B84">
        <v>2010</v>
      </c>
      <c r="C84" t="s">
        <v>38</v>
      </c>
      <c r="D84" t="s">
        <v>28</v>
      </c>
      <c r="E84" t="s">
        <v>29</v>
      </c>
      <c r="F84">
        <v>77420851</v>
      </c>
      <c r="G84" s="1">
        <v>1310510000000</v>
      </c>
      <c r="H84">
        <v>235.68</v>
      </c>
      <c r="I84">
        <v>231.99</v>
      </c>
      <c r="J84">
        <v>2996.48</v>
      </c>
      <c r="K84">
        <v>-3.69</v>
      </c>
      <c r="L84">
        <v>-1.591</v>
      </c>
      <c r="M84">
        <v>1439.1020000000001</v>
      </c>
      <c r="N84">
        <v>1443.894</v>
      </c>
      <c r="O84">
        <v>18588.035</v>
      </c>
      <c r="P84">
        <v>73.765000000000001</v>
      </c>
      <c r="Q84">
        <v>58.776000000000003</v>
      </c>
      <c r="R84">
        <v>2465.9380000000001</v>
      </c>
      <c r="S84">
        <v>972.17600000000004</v>
      </c>
      <c r="T84">
        <v>10.43</v>
      </c>
      <c r="U84">
        <v>4.4249999999999998</v>
      </c>
      <c r="V84">
        <v>225.25</v>
      </c>
      <c r="W84">
        <v>95.575000000000003</v>
      </c>
      <c r="X84">
        <v>31753.627</v>
      </c>
      <c r="Y84">
        <v>155.84</v>
      </c>
      <c r="Z84" s="1">
        <v>487070000000</v>
      </c>
    </row>
    <row r="85" spans="1:26" hidden="1">
      <c r="A85" t="s">
        <v>37</v>
      </c>
      <c r="B85">
        <v>2011</v>
      </c>
      <c r="C85" t="s">
        <v>38</v>
      </c>
      <c r="D85" t="s">
        <v>28</v>
      </c>
      <c r="E85" t="s">
        <v>29</v>
      </c>
      <c r="F85">
        <v>78383602</v>
      </c>
      <c r="G85" s="1">
        <v>1345050000000</v>
      </c>
      <c r="H85">
        <v>235.59</v>
      </c>
      <c r="I85">
        <v>230.58</v>
      </c>
      <c r="J85">
        <v>2941.6869999999999</v>
      </c>
      <c r="K85">
        <v>-5.01</v>
      </c>
      <c r="L85">
        <v>-2.173</v>
      </c>
      <c r="M85">
        <v>1509.8630000000001</v>
      </c>
      <c r="N85">
        <v>1531.9259999999999</v>
      </c>
      <c r="O85">
        <v>19262.48</v>
      </c>
      <c r="P85">
        <v>60.414000000000001</v>
      </c>
      <c r="Q85">
        <v>60.021999999999998</v>
      </c>
      <c r="R85">
        <v>2471.7040000000002</v>
      </c>
      <c r="S85">
        <v>978.04399999999998</v>
      </c>
      <c r="T85">
        <v>10.91</v>
      </c>
      <c r="U85">
        <v>4.6310000000000002</v>
      </c>
      <c r="V85">
        <v>224.57</v>
      </c>
      <c r="W85">
        <v>95.322000000000003</v>
      </c>
      <c r="X85">
        <v>32584.848000000002</v>
      </c>
      <c r="Y85">
        <v>154.09</v>
      </c>
      <c r="Z85" s="1">
        <v>629082000000</v>
      </c>
    </row>
    <row r="86" spans="1:26" hidden="1">
      <c r="A86" t="s">
        <v>37</v>
      </c>
      <c r="B86">
        <v>2012</v>
      </c>
      <c r="C86" t="s">
        <v>38</v>
      </c>
      <c r="D86" t="s">
        <v>28</v>
      </c>
      <c r="E86" t="s">
        <v>29</v>
      </c>
      <c r="F86">
        <v>79370583</v>
      </c>
      <c r="G86" s="1">
        <v>1324570000000</v>
      </c>
      <c r="H86">
        <v>248.74</v>
      </c>
      <c r="I86">
        <v>241.61</v>
      </c>
      <c r="J86">
        <v>3044.0749999999998</v>
      </c>
      <c r="K86">
        <v>-7.13</v>
      </c>
      <c r="L86">
        <v>-2.9510000000000001</v>
      </c>
      <c r="M86">
        <v>1569.3579999999999</v>
      </c>
      <c r="N86">
        <v>1525.4549999999999</v>
      </c>
      <c r="O86">
        <v>19772.532999999999</v>
      </c>
      <c r="P86">
        <v>62.856999999999999</v>
      </c>
      <c r="Q86">
        <v>59.317999999999998</v>
      </c>
      <c r="R86">
        <v>2098.9679999999998</v>
      </c>
      <c r="S86">
        <v>998.78099999999995</v>
      </c>
      <c r="T86">
        <v>12.8</v>
      </c>
      <c r="U86">
        <v>5.1459999999999999</v>
      </c>
      <c r="V86">
        <v>234.49</v>
      </c>
      <c r="W86">
        <v>94.271000000000001</v>
      </c>
      <c r="X86">
        <v>32428.09</v>
      </c>
      <c r="Y86">
        <v>161.27000000000001</v>
      </c>
      <c r="Z86" s="1">
        <v>644019000000</v>
      </c>
    </row>
    <row r="87" spans="1:26" hidden="1">
      <c r="A87" t="s">
        <v>37</v>
      </c>
      <c r="B87">
        <v>2013</v>
      </c>
      <c r="C87" t="s">
        <v>38</v>
      </c>
      <c r="D87" t="s">
        <v>28</v>
      </c>
      <c r="E87" t="s">
        <v>29</v>
      </c>
      <c r="F87">
        <v>80414689</v>
      </c>
      <c r="G87" s="1">
        <v>1287100000000</v>
      </c>
      <c r="H87">
        <v>258.86</v>
      </c>
      <c r="I87">
        <v>250.98</v>
      </c>
      <c r="J87">
        <v>3121.0720000000001</v>
      </c>
      <c r="K87">
        <v>-7.88</v>
      </c>
      <c r="L87">
        <v>-3.14</v>
      </c>
      <c r="M87">
        <v>1575.2809999999999</v>
      </c>
      <c r="N87">
        <v>1538.345</v>
      </c>
      <c r="O87">
        <v>19589.463</v>
      </c>
      <c r="P87">
        <v>53.191000000000003</v>
      </c>
      <c r="Q87">
        <v>57.582999999999998</v>
      </c>
      <c r="R87">
        <v>1973.2860000000001</v>
      </c>
      <c r="S87">
        <v>1075.3910000000001</v>
      </c>
      <c r="T87">
        <v>14.86</v>
      </c>
      <c r="U87">
        <v>5.7409999999999997</v>
      </c>
      <c r="V87">
        <v>239.74</v>
      </c>
      <c r="W87">
        <v>92.614000000000004</v>
      </c>
      <c r="X87">
        <v>33255.663999999997</v>
      </c>
      <c r="Y87">
        <v>164.02</v>
      </c>
      <c r="Z87" s="1">
        <v>500400000000</v>
      </c>
    </row>
    <row r="88" spans="1:26" hidden="1">
      <c r="A88" t="s">
        <v>37</v>
      </c>
      <c r="B88">
        <v>2014</v>
      </c>
      <c r="C88" t="s">
        <v>38</v>
      </c>
      <c r="D88" t="s">
        <v>28</v>
      </c>
      <c r="E88" t="s">
        <v>29</v>
      </c>
      <c r="F88">
        <v>81502045</v>
      </c>
      <c r="G88" s="1">
        <v>1352740000000</v>
      </c>
      <c r="H88">
        <v>275.63</v>
      </c>
      <c r="I88">
        <v>269.74</v>
      </c>
      <c r="J88">
        <v>3309.61</v>
      </c>
      <c r="K88">
        <v>-5.89</v>
      </c>
      <c r="L88">
        <v>-2.1840000000000002</v>
      </c>
      <c r="M88">
        <v>1754.5060000000001</v>
      </c>
      <c r="N88">
        <v>1734.009</v>
      </c>
      <c r="O88">
        <v>21527.141</v>
      </c>
      <c r="P88">
        <v>69.659000000000006</v>
      </c>
      <c r="Q88">
        <v>62.274999999999999</v>
      </c>
      <c r="R88">
        <v>2024.1610000000001</v>
      </c>
      <c r="S88">
        <v>991.93799999999999</v>
      </c>
      <c r="T88">
        <v>14.75</v>
      </c>
      <c r="U88">
        <v>5.351</v>
      </c>
      <c r="V88">
        <v>256.81</v>
      </c>
      <c r="W88">
        <v>93.171999999999997</v>
      </c>
      <c r="X88">
        <v>34196.25</v>
      </c>
      <c r="Y88">
        <v>177.54</v>
      </c>
      <c r="Z88" s="1">
        <v>462285000000</v>
      </c>
    </row>
    <row r="89" spans="1:26" hidden="1">
      <c r="A89" t="s">
        <v>37</v>
      </c>
      <c r="B89">
        <v>2015</v>
      </c>
      <c r="C89" t="s">
        <v>38</v>
      </c>
      <c r="D89" t="s">
        <v>28</v>
      </c>
      <c r="E89" t="s">
        <v>29</v>
      </c>
      <c r="F89">
        <v>82619365</v>
      </c>
      <c r="G89" s="1">
        <v>1331010000000</v>
      </c>
      <c r="H89">
        <v>280.24</v>
      </c>
      <c r="I89">
        <v>277.57</v>
      </c>
      <c r="J89">
        <v>3359.6239999999998</v>
      </c>
      <c r="K89">
        <v>-2.67</v>
      </c>
      <c r="L89">
        <v>-0.96199999999999997</v>
      </c>
      <c r="M89">
        <v>1835.479</v>
      </c>
      <c r="N89">
        <v>1840.1949999999999</v>
      </c>
      <c r="O89">
        <v>22216.085999999999</v>
      </c>
      <c r="P89">
        <v>73.725999999999999</v>
      </c>
      <c r="Q89">
        <v>66.66</v>
      </c>
      <c r="R89">
        <v>2096.2249999999999</v>
      </c>
      <c r="S89">
        <v>864.85699999999997</v>
      </c>
      <c r="T89">
        <v>13.41</v>
      </c>
      <c r="U89">
        <v>4.7850000000000001</v>
      </c>
      <c r="V89">
        <v>263.33</v>
      </c>
      <c r="W89">
        <v>93.965999999999994</v>
      </c>
      <c r="X89">
        <v>33441.343999999997</v>
      </c>
      <c r="Y89">
        <v>182.39</v>
      </c>
      <c r="Z89" s="1">
        <v>409192000000</v>
      </c>
    </row>
    <row r="90" spans="1:26" hidden="1">
      <c r="A90" t="s">
        <v>37</v>
      </c>
      <c r="B90">
        <v>2016</v>
      </c>
      <c r="C90" t="s">
        <v>38</v>
      </c>
      <c r="D90" t="s">
        <v>28</v>
      </c>
      <c r="E90" t="s">
        <v>29</v>
      </c>
      <c r="F90">
        <v>83812230</v>
      </c>
      <c r="G90" s="1">
        <v>1413720000000</v>
      </c>
      <c r="H90">
        <v>286.14</v>
      </c>
      <c r="I90">
        <v>283.67</v>
      </c>
      <c r="J90">
        <v>3384.59</v>
      </c>
      <c r="K90">
        <v>-2.4700000000000002</v>
      </c>
      <c r="L90">
        <v>-0.871</v>
      </c>
      <c r="M90">
        <v>1993.4190000000001</v>
      </c>
      <c r="N90">
        <v>1963.191</v>
      </c>
      <c r="O90">
        <v>23784.348000000002</v>
      </c>
      <c r="P90">
        <v>78.745000000000005</v>
      </c>
      <c r="Q90">
        <v>67.290000000000006</v>
      </c>
      <c r="R90">
        <v>2513.7600000000002</v>
      </c>
      <c r="S90">
        <v>888.29</v>
      </c>
      <c r="T90">
        <v>15.6</v>
      </c>
      <c r="U90">
        <v>5.452</v>
      </c>
      <c r="V90">
        <v>264.07</v>
      </c>
      <c r="W90">
        <v>92.287000000000006</v>
      </c>
      <c r="X90">
        <v>34845.237999999998</v>
      </c>
      <c r="Y90">
        <v>183.74</v>
      </c>
      <c r="Z90" s="1">
        <v>478618000000</v>
      </c>
    </row>
    <row r="91" spans="1:26" hidden="1">
      <c r="A91" t="s">
        <v>37</v>
      </c>
      <c r="B91">
        <v>2017</v>
      </c>
      <c r="C91" t="s">
        <v>38</v>
      </c>
      <c r="D91" t="s">
        <v>28</v>
      </c>
      <c r="E91" t="s">
        <v>29</v>
      </c>
      <c r="F91">
        <v>85026761</v>
      </c>
      <c r="G91" s="1">
        <v>1486670000000</v>
      </c>
      <c r="H91">
        <v>305.17</v>
      </c>
      <c r="I91">
        <v>300.85000000000002</v>
      </c>
      <c r="J91">
        <v>3538.2979999999998</v>
      </c>
      <c r="K91">
        <v>-4.32</v>
      </c>
      <c r="L91">
        <v>-1.4359999999999999</v>
      </c>
      <c r="M91">
        <v>2138.5010000000002</v>
      </c>
      <c r="N91">
        <v>2050.04</v>
      </c>
      <c r="O91">
        <v>25150.914000000001</v>
      </c>
      <c r="P91">
        <v>82.741</v>
      </c>
      <c r="Q91">
        <v>67.870999999999995</v>
      </c>
      <c r="R91">
        <v>2727.6990000000001</v>
      </c>
      <c r="S91">
        <v>896.90599999999995</v>
      </c>
      <c r="T91">
        <v>17.66</v>
      </c>
      <c r="U91">
        <v>5.7869999999999999</v>
      </c>
      <c r="V91">
        <v>280.55</v>
      </c>
      <c r="W91">
        <v>91.932000000000002</v>
      </c>
      <c r="X91">
        <v>35561.832000000002</v>
      </c>
      <c r="Y91">
        <v>195.82</v>
      </c>
      <c r="Z91" s="1">
        <v>510240000000</v>
      </c>
    </row>
    <row r="92" spans="1:26" hidden="1">
      <c r="A92" t="s">
        <v>37</v>
      </c>
      <c r="B92">
        <v>2018</v>
      </c>
      <c r="C92" t="s">
        <v>38</v>
      </c>
      <c r="D92" t="s">
        <v>28</v>
      </c>
      <c r="E92" t="s">
        <v>29</v>
      </c>
      <c r="F92">
        <v>86117999</v>
      </c>
      <c r="G92" s="1">
        <v>1483610000000</v>
      </c>
      <c r="H92">
        <v>312.35000000000002</v>
      </c>
      <c r="I92">
        <v>308.64</v>
      </c>
      <c r="J92">
        <v>3583.92</v>
      </c>
      <c r="K92">
        <v>-3.71</v>
      </c>
      <c r="L92">
        <v>-1.202</v>
      </c>
      <c r="M92">
        <v>2201.252</v>
      </c>
      <c r="N92">
        <v>2126.4340000000002</v>
      </c>
      <c r="O92">
        <v>25560.879000000001</v>
      </c>
      <c r="P92">
        <v>85.254000000000005</v>
      </c>
      <c r="Q92">
        <v>68.158000000000001</v>
      </c>
      <c r="R92">
        <v>2598.6669999999999</v>
      </c>
      <c r="S92">
        <v>933.49900000000002</v>
      </c>
      <c r="T92">
        <v>10.83</v>
      </c>
      <c r="U92">
        <v>3.4670000000000001</v>
      </c>
      <c r="V92">
        <v>294.63</v>
      </c>
      <c r="W92">
        <v>94.326999999999998</v>
      </c>
      <c r="X92">
        <v>36251.887000000002</v>
      </c>
      <c r="Y92">
        <v>205.49</v>
      </c>
      <c r="Z92" s="1">
        <v>411903000000</v>
      </c>
    </row>
    <row r="93" spans="1:26" hidden="1">
      <c r="A93" t="s">
        <v>37</v>
      </c>
      <c r="B93">
        <v>2019</v>
      </c>
      <c r="C93" t="s">
        <v>38</v>
      </c>
      <c r="D93" t="s">
        <v>28</v>
      </c>
      <c r="E93" t="s">
        <v>29</v>
      </c>
      <c r="F93">
        <v>87051649</v>
      </c>
      <c r="G93" s="1">
        <v>1438750000000</v>
      </c>
      <c r="H93">
        <v>318.88</v>
      </c>
      <c r="I93">
        <v>312.02</v>
      </c>
      <c r="J93">
        <v>3584.3090000000002</v>
      </c>
      <c r="K93">
        <v>-6.86</v>
      </c>
      <c r="L93">
        <v>-2.1989999999999998</v>
      </c>
      <c r="M93">
        <v>2283.14</v>
      </c>
      <c r="N93">
        <v>2183.8960000000002</v>
      </c>
      <c r="O93">
        <v>26227.414000000001</v>
      </c>
      <c r="P93">
        <v>76.677999999999997</v>
      </c>
      <c r="Q93">
        <v>66.356999999999999</v>
      </c>
      <c r="R93">
        <v>1877.85</v>
      </c>
      <c r="S93">
        <v>985.50800000000004</v>
      </c>
      <c r="T93">
        <v>35.11</v>
      </c>
      <c r="U93">
        <v>11.01</v>
      </c>
      <c r="V93">
        <v>277.36</v>
      </c>
      <c r="W93">
        <v>86.978999999999999</v>
      </c>
      <c r="X93">
        <v>37875.233999999997</v>
      </c>
      <c r="Y93">
        <v>193.82</v>
      </c>
      <c r="Z93" s="1">
        <v>347988000000</v>
      </c>
    </row>
    <row r="94" spans="1:26" hidden="1">
      <c r="A94" t="s">
        <v>37</v>
      </c>
      <c r="B94">
        <v>2020</v>
      </c>
      <c r="C94" t="s">
        <v>38</v>
      </c>
      <c r="D94" t="s">
        <v>28</v>
      </c>
      <c r="E94" t="s">
        <v>29</v>
      </c>
      <c r="F94">
        <v>87723448</v>
      </c>
      <c r="G94" s="1">
        <v>1446200000000</v>
      </c>
      <c r="H94">
        <v>337.21</v>
      </c>
      <c r="I94">
        <v>330.41</v>
      </c>
      <c r="J94">
        <v>3766.4960000000001</v>
      </c>
      <c r="K94">
        <v>-6.8</v>
      </c>
      <c r="L94">
        <v>-2.0579999999999998</v>
      </c>
      <c r="M94">
        <v>2357.7550000000001</v>
      </c>
      <c r="N94">
        <v>2367.6729999999998</v>
      </c>
      <c r="O94">
        <v>26877.136999999999</v>
      </c>
      <c r="P94">
        <v>79.543999999999997</v>
      </c>
      <c r="Q94">
        <v>69.287999999999997</v>
      </c>
      <c r="R94">
        <v>1713.8789999999999</v>
      </c>
      <c r="S94">
        <v>950.84299999999996</v>
      </c>
      <c r="T94">
        <v>24.93</v>
      </c>
      <c r="U94">
        <v>7.3929999999999998</v>
      </c>
      <c r="V94">
        <v>305.95</v>
      </c>
      <c r="W94">
        <v>90.73</v>
      </c>
      <c r="X94">
        <v>39001.836000000003</v>
      </c>
      <c r="Y94">
        <v>213.39</v>
      </c>
      <c r="Z94" s="1">
        <v>280934000000</v>
      </c>
    </row>
    <row r="95" spans="1:26" hidden="1">
      <c r="A95" t="s">
        <v>37</v>
      </c>
      <c r="B95">
        <v>2021</v>
      </c>
      <c r="C95" t="s">
        <v>38</v>
      </c>
      <c r="D95" t="s">
        <v>28</v>
      </c>
      <c r="E95" t="s">
        <v>29</v>
      </c>
      <c r="F95">
        <v>88455490</v>
      </c>
      <c r="G95" s="1">
        <v>1525520000000</v>
      </c>
      <c r="H95">
        <v>356.41</v>
      </c>
      <c r="I95">
        <v>349.61</v>
      </c>
      <c r="J95">
        <v>3952.3829999999998</v>
      </c>
      <c r="K95">
        <v>-6.8</v>
      </c>
      <c r="L95">
        <v>-1.9450000000000001</v>
      </c>
      <c r="M95">
        <v>2428.4879999999998</v>
      </c>
      <c r="N95">
        <v>2295.3139999999999</v>
      </c>
      <c r="O95">
        <v>27454.351999999999</v>
      </c>
      <c r="P95">
        <v>84.784000000000006</v>
      </c>
      <c r="Q95">
        <v>68.052999999999997</v>
      </c>
      <c r="R95">
        <v>1968.38</v>
      </c>
      <c r="S95">
        <v>1010.115</v>
      </c>
      <c r="T95">
        <v>15.6</v>
      </c>
      <c r="U95">
        <v>4.3769999999999998</v>
      </c>
      <c r="V95">
        <v>337.27</v>
      </c>
      <c r="W95">
        <v>94.63</v>
      </c>
      <c r="X95">
        <v>38159.269999999997</v>
      </c>
      <c r="Y95">
        <v>235.17</v>
      </c>
      <c r="Z95" s="1">
        <v>407351000000</v>
      </c>
    </row>
    <row r="96" spans="1:26" hidden="1">
      <c r="A96" t="s">
        <v>37</v>
      </c>
      <c r="B96">
        <v>2022</v>
      </c>
      <c r="C96" t="s">
        <v>38</v>
      </c>
      <c r="D96" t="s">
        <v>28</v>
      </c>
      <c r="E96" t="s">
        <v>29</v>
      </c>
      <c r="F96">
        <v>89524247</v>
      </c>
      <c r="G96" s="1">
        <v>1572210000000</v>
      </c>
      <c r="H96">
        <v>367.06</v>
      </c>
      <c r="I96">
        <v>360.61</v>
      </c>
      <c r="J96">
        <v>4028.0709999999999</v>
      </c>
      <c r="K96">
        <v>-6.45</v>
      </c>
      <c r="L96">
        <v>-1.7889999999999999</v>
      </c>
      <c r="M96">
        <v>2477.058</v>
      </c>
      <c r="N96">
        <v>2394.0129999999999</v>
      </c>
      <c r="O96">
        <v>27669.129000000001</v>
      </c>
      <c r="P96">
        <v>85.387</v>
      </c>
      <c r="Q96">
        <v>68.646000000000001</v>
      </c>
      <c r="R96">
        <v>2073.6559999999999</v>
      </c>
      <c r="S96">
        <v>1017.021</v>
      </c>
      <c r="T96">
        <v>15.77</v>
      </c>
      <c r="U96">
        <v>4.2960000000000003</v>
      </c>
      <c r="V96">
        <v>344.72</v>
      </c>
      <c r="W96">
        <v>93.914000000000001</v>
      </c>
      <c r="X96">
        <v>38985.188000000002</v>
      </c>
      <c r="Y96">
        <v>240.56</v>
      </c>
      <c r="Z96" s="1">
        <v>422662000000</v>
      </c>
    </row>
    <row r="97" spans="1:26" hidden="1">
      <c r="A97" t="s">
        <v>37</v>
      </c>
      <c r="B97">
        <v>2023</v>
      </c>
      <c r="C97" t="s">
        <v>38</v>
      </c>
      <c r="D97" t="s">
        <v>28</v>
      </c>
      <c r="E97" t="s">
        <v>29</v>
      </c>
      <c r="F97">
        <v>90608708</v>
      </c>
      <c r="G97" s="1">
        <v>1923470000000</v>
      </c>
      <c r="H97">
        <v>382.02</v>
      </c>
      <c r="I97">
        <v>375.29</v>
      </c>
      <c r="J97">
        <v>4141.875</v>
      </c>
      <c r="K97">
        <v>-6.73</v>
      </c>
      <c r="L97">
        <v>-1.7929999999999999</v>
      </c>
      <c r="M97">
        <v>2597.375</v>
      </c>
      <c r="N97">
        <v>2465.8330000000001</v>
      </c>
      <c r="O97">
        <v>28665.844000000001</v>
      </c>
      <c r="P97">
        <v>84.278000000000006</v>
      </c>
      <c r="Q97">
        <v>68.650999999999996</v>
      </c>
      <c r="R97">
        <v>2455.5619999999999</v>
      </c>
      <c r="S97">
        <v>1031.422</v>
      </c>
      <c r="T97">
        <v>24.73</v>
      </c>
      <c r="U97">
        <v>6.4729999999999999</v>
      </c>
      <c r="V97">
        <v>350.65</v>
      </c>
      <c r="W97">
        <v>91.787999999999997</v>
      </c>
      <c r="X97">
        <v>39688.281000000003</v>
      </c>
      <c r="Y97">
        <v>245.02</v>
      </c>
      <c r="Z97" s="1">
        <v>457510000000</v>
      </c>
    </row>
    <row r="98" spans="1:26" hidden="1">
      <c r="A98" t="s">
        <v>39</v>
      </c>
      <c r="B98">
        <v>2000</v>
      </c>
      <c r="C98" t="s">
        <v>40</v>
      </c>
      <c r="D98" t="s">
        <v>28</v>
      </c>
      <c r="E98" t="s">
        <v>29</v>
      </c>
      <c r="F98">
        <v>24424060</v>
      </c>
      <c r="G98">
        <v>83019213791</v>
      </c>
      <c r="H98">
        <v>31.9</v>
      </c>
      <c r="I98">
        <v>31.9</v>
      </c>
      <c r="J98">
        <v>1306.0889999999999</v>
      </c>
      <c r="K98">
        <v>0</v>
      </c>
      <c r="L98">
        <v>0</v>
      </c>
      <c r="M98">
        <v>29.925000000000001</v>
      </c>
      <c r="N98">
        <v>29.925000000000001</v>
      </c>
      <c r="O98">
        <v>1225.2260000000001</v>
      </c>
      <c r="P98">
        <v>18.777000000000001</v>
      </c>
      <c r="Q98">
        <v>9.2919999999999998</v>
      </c>
      <c r="R98">
        <v>1497.8920000000001</v>
      </c>
      <c r="S98">
        <v>283.23599999999999</v>
      </c>
      <c r="T98">
        <v>0.61</v>
      </c>
      <c r="U98">
        <v>1.9119999999999999</v>
      </c>
      <c r="V98">
        <v>31.29</v>
      </c>
      <c r="W98">
        <v>98.087999999999994</v>
      </c>
      <c r="X98">
        <v>13208.813</v>
      </c>
      <c r="Y98">
        <v>21</v>
      </c>
      <c r="Z98">
        <v>48364250944</v>
      </c>
    </row>
    <row r="99" spans="1:26" hidden="1">
      <c r="A99" t="s">
        <v>39</v>
      </c>
      <c r="B99">
        <v>2001</v>
      </c>
      <c r="C99" t="s">
        <v>40</v>
      </c>
      <c r="D99" t="s">
        <v>28</v>
      </c>
      <c r="E99" t="s">
        <v>29</v>
      </c>
      <c r="F99">
        <v>25197842</v>
      </c>
      <c r="G99">
        <v>97219510326</v>
      </c>
      <c r="H99">
        <v>32.25</v>
      </c>
      <c r="I99">
        <v>32.25</v>
      </c>
      <c r="J99">
        <v>1279.8710000000001</v>
      </c>
      <c r="K99">
        <v>0</v>
      </c>
      <c r="L99">
        <v>0</v>
      </c>
      <c r="M99">
        <v>26.22</v>
      </c>
      <c r="N99">
        <v>26.22</v>
      </c>
      <c r="O99">
        <v>1040.5650000000001</v>
      </c>
      <c r="P99">
        <v>16.248000000000001</v>
      </c>
      <c r="Q99">
        <v>7.2880000000000003</v>
      </c>
      <c r="R99">
        <v>1440.634</v>
      </c>
      <c r="S99">
        <v>323.30200000000002</v>
      </c>
      <c r="T99">
        <v>0.62</v>
      </c>
      <c r="U99">
        <v>1.9219999999999999</v>
      </c>
      <c r="V99">
        <v>31.63</v>
      </c>
      <c r="W99">
        <v>98.078000000000003</v>
      </c>
      <c r="X99">
        <v>14302.593000000001</v>
      </c>
      <c r="Y99">
        <v>21.17</v>
      </c>
      <c r="Z99">
        <v>36176430129</v>
      </c>
    </row>
    <row r="100" spans="1:26" hidden="1">
      <c r="A100" t="s">
        <v>39</v>
      </c>
      <c r="B100">
        <v>2002</v>
      </c>
      <c r="C100" t="s">
        <v>40</v>
      </c>
      <c r="D100" t="s">
        <v>28</v>
      </c>
      <c r="E100" t="s">
        <v>29</v>
      </c>
      <c r="F100">
        <v>26006558</v>
      </c>
      <c r="G100" s="1">
        <v>112142000000</v>
      </c>
      <c r="H100">
        <v>33.86</v>
      </c>
      <c r="I100">
        <v>33.86</v>
      </c>
      <c r="J100">
        <v>1301.979</v>
      </c>
      <c r="K100">
        <v>0</v>
      </c>
      <c r="L100">
        <v>0</v>
      </c>
      <c r="M100">
        <v>22.42</v>
      </c>
      <c r="N100">
        <v>22.42</v>
      </c>
      <c r="O100">
        <v>862.09</v>
      </c>
      <c r="P100">
        <v>13.231</v>
      </c>
      <c r="Q100">
        <v>6.5609999999999999</v>
      </c>
      <c r="R100">
        <v>1208.05</v>
      </c>
      <c r="S100">
        <v>306.80900000000003</v>
      </c>
      <c r="T100">
        <v>0.52</v>
      </c>
      <c r="U100">
        <v>1.536</v>
      </c>
      <c r="V100">
        <v>33.340000000000003</v>
      </c>
      <c r="W100">
        <v>98.463999999999999</v>
      </c>
      <c r="X100">
        <v>13171.254000000001</v>
      </c>
      <c r="Y100">
        <v>22.25</v>
      </c>
      <c r="Z100">
        <v>32928454672</v>
      </c>
    </row>
    <row r="101" spans="1:26" hidden="1">
      <c r="A101" t="s">
        <v>39</v>
      </c>
      <c r="B101">
        <v>2003</v>
      </c>
      <c r="C101" t="s">
        <v>40</v>
      </c>
      <c r="D101" t="s">
        <v>28</v>
      </c>
      <c r="E101" t="s">
        <v>29</v>
      </c>
      <c r="F101">
        <v>26802660</v>
      </c>
      <c r="G101">
        <v>94480598969</v>
      </c>
      <c r="H101">
        <v>28.33</v>
      </c>
      <c r="I101">
        <v>28.33</v>
      </c>
      <c r="J101">
        <v>1056.9849999999999</v>
      </c>
      <c r="K101">
        <v>0</v>
      </c>
      <c r="L101">
        <v>0</v>
      </c>
      <c r="M101">
        <v>14.82</v>
      </c>
      <c r="N101">
        <v>14.82</v>
      </c>
      <c r="O101">
        <v>552.92999999999995</v>
      </c>
      <c r="P101">
        <v>10.448</v>
      </c>
      <c r="Q101">
        <v>4.8879999999999999</v>
      </c>
      <c r="R101">
        <v>767.86500000000001</v>
      </c>
      <c r="S101">
        <v>275.41000000000003</v>
      </c>
      <c r="T101">
        <v>0.43</v>
      </c>
      <c r="U101">
        <v>1.518</v>
      </c>
      <c r="V101">
        <v>27.9</v>
      </c>
      <c r="W101">
        <v>98.481999999999999</v>
      </c>
      <c r="X101">
        <v>11342.992</v>
      </c>
      <c r="Y101">
        <v>18.57</v>
      </c>
      <c r="Z101">
        <v>21921569479</v>
      </c>
    </row>
    <row r="102" spans="1:26" hidden="1">
      <c r="A102" t="s">
        <v>39</v>
      </c>
      <c r="B102">
        <v>2004</v>
      </c>
      <c r="C102" t="s">
        <v>40</v>
      </c>
      <c r="D102" t="s">
        <v>28</v>
      </c>
      <c r="E102" t="s">
        <v>29</v>
      </c>
      <c r="F102">
        <v>27577876</v>
      </c>
      <c r="G102" s="1">
        <v>155937000000</v>
      </c>
      <c r="H102">
        <v>32.29</v>
      </c>
      <c r="I102">
        <v>33.61</v>
      </c>
      <c r="J102">
        <v>1218.731</v>
      </c>
      <c r="K102">
        <v>1.32</v>
      </c>
      <c r="L102">
        <v>3.927</v>
      </c>
      <c r="M102">
        <v>9.5</v>
      </c>
      <c r="N102">
        <v>9.5</v>
      </c>
      <c r="O102">
        <v>344.47899999999998</v>
      </c>
      <c r="P102">
        <v>5.8840000000000003</v>
      </c>
      <c r="Q102">
        <v>2.923</v>
      </c>
      <c r="R102">
        <v>1162.373</v>
      </c>
      <c r="S102">
        <v>299.94</v>
      </c>
      <c r="T102">
        <v>0.49</v>
      </c>
      <c r="U102">
        <v>1.5169999999999999</v>
      </c>
      <c r="V102">
        <v>31.8</v>
      </c>
      <c r="W102">
        <v>98.481999999999999</v>
      </c>
      <c r="X102">
        <v>11821.411</v>
      </c>
      <c r="Y102">
        <v>21.06</v>
      </c>
      <c r="Z102">
        <v>36633669269</v>
      </c>
    </row>
    <row r="103" spans="1:26" hidden="1">
      <c r="A103" t="s">
        <v>39</v>
      </c>
      <c r="B103">
        <v>2005</v>
      </c>
      <c r="C103" t="s">
        <v>40</v>
      </c>
      <c r="D103" t="s">
        <v>28</v>
      </c>
      <c r="E103" t="s">
        <v>29</v>
      </c>
      <c r="F103">
        <v>28407450</v>
      </c>
      <c r="G103" s="1">
        <v>170896000000</v>
      </c>
      <c r="H103">
        <v>30.4</v>
      </c>
      <c r="I103">
        <v>31.64</v>
      </c>
      <c r="J103">
        <v>1113.7919999999999</v>
      </c>
      <c r="K103">
        <v>1.24</v>
      </c>
      <c r="L103">
        <v>3.919</v>
      </c>
      <c r="M103">
        <v>13.775</v>
      </c>
      <c r="N103">
        <v>13.775</v>
      </c>
      <c r="O103">
        <v>484.90800000000002</v>
      </c>
      <c r="P103">
        <v>32.895000000000003</v>
      </c>
      <c r="Q103">
        <v>4.4809999999999999</v>
      </c>
      <c r="R103">
        <v>1045.9280000000001</v>
      </c>
      <c r="S103">
        <v>280.47899999999998</v>
      </c>
      <c r="T103">
        <v>6</v>
      </c>
      <c r="U103">
        <v>19.736999999999998</v>
      </c>
      <c r="V103">
        <v>24.4</v>
      </c>
      <c r="W103">
        <v>80.263000000000005</v>
      </c>
      <c r="X103">
        <v>10851.643</v>
      </c>
      <c r="Y103">
        <v>16.87</v>
      </c>
      <c r="Z103">
        <v>50065104668</v>
      </c>
    </row>
    <row r="104" spans="1:26" hidden="1">
      <c r="A104" t="s">
        <v>39</v>
      </c>
      <c r="B104">
        <v>2006</v>
      </c>
      <c r="C104" t="s">
        <v>40</v>
      </c>
      <c r="D104" t="s">
        <v>28</v>
      </c>
      <c r="E104" t="s">
        <v>29</v>
      </c>
      <c r="F104">
        <v>28616518</v>
      </c>
      <c r="G104" s="1">
        <v>190083000000</v>
      </c>
      <c r="H104">
        <v>33.83</v>
      </c>
      <c r="I104">
        <v>36.520000000000003</v>
      </c>
      <c r="J104">
        <v>1276.1859999999999</v>
      </c>
      <c r="K104">
        <v>2.69</v>
      </c>
      <c r="L104">
        <v>7.3659999999999997</v>
      </c>
      <c r="M104">
        <v>13.775</v>
      </c>
      <c r="N104">
        <v>13.775</v>
      </c>
      <c r="O104">
        <v>481.36500000000001</v>
      </c>
      <c r="P104">
        <v>41.914999999999999</v>
      </c>
      <c r="Q104">
        <v>4.6100000000000003</v>
      </c>
      <c r="R104">
        <v>1139.99</v>
      </c>
      <c r="S104">
        <v>271.65600000000001</v>
      </c>
      <c r="T104">
        <v>6.1</v>
      </c>
      <c r="U104">
        <v>18.030999999999999</v>
      </c>
      <c r="V104">
        <v>27.73</v>
      </c>
      <c r="W104">
        <v>81.968999999999994</v>
      </c>
      <c r="X104">
        <v>10470.602000000001</v>
      </c>
      <c r="Y104">
        <v>19.34</v>
      </c>
      <c r="Z104">
        <v>65147051918</v>
      </c>
    </row>
    <row r="105" spans="1:26" hidden="1">
      <c r="A105" t="s">
        <v>39</v>
      </c>
      <c r="B105">
        <v>2007</v>
      </c>
      <c r="C105" t="s">
        <v>40</v>
      </c>
      <c r="D105" t="s">
        <v>28</v>
      </c>
      <c r="E105" t="s">
        <v>29</v>
      </c>
      <c r="F105">
        <v>28391606</v>
      </c>
      <c r="G105" s="1">
        <v>200529000000</v>
      </c>
      <c r="H105">
        <v>33.24</v>
      </c>
      <c r="I105">
        <v>35.44</v>
      </c>
      <c r="J105">
        <v>1248.2560000000001</v>
      </c>
      <c r="K105">
        <v>2.2000000000000002</v>
      </c>
      <c r="L105">
        <v>6.2080000000000002</v>
      </c>
      <c r="M105">
        <v>45.43</v>
      </c>
      <c r="N105">
        <v>45.43</v>
      </c>
      <c r="O105">
        <v>1600.106</v>
      </c>
      <c r="P105">
        <v>38.929000000000002</v>
      </c>
      <c r="Q105">
        <v>15.073</v>
      </c>
      <c r="R105">
        <v>1222.19</v>
      </c>
      <c r="S105">
        <v>243.81899999999999</v>
      </c>
      <c r="T105">
        <v>5.74</v>
      </c>
      <c r="U105">
        <v>17.268000000000001</v>
      </c>
      <c r="V105">
        <v>27.5</v>
      </c>
      <c r="W105">
        <v>82.731999999999999</v>
      </c>
      <c r="X105">
        <v>10642.609</v>
      </c>
      <c r="Y105">
        <v>19.100000000000001</v>
      </c>
      <c r="Z105">
        <v>88837057320</v>
      </c>
    </row>
    <row r="106" spans="1:26" hidden="1">
      <c r="A106" t="s">
        <v>39</v>
      </c>
      <c r="B106">
        <v>2008</v>
      </c>
      <c r="C106" t="s">
        <v>40</v>
      </c>
      <c r="D106" t="s">
        <v>28</v>
      </c>
      <c r="E106" t="s">
        <v>29</v>
      </c>
      <c r="F106">
        <v>28971042</v>
      </c>
      <c r="G106" s="1">
        <v>231588000000</v>
      </c>
      <c r="H106">
        <v>36.880000000000003</v>
      </c>
      <c r="I106">
        <v>39.85</v>
      </c>
      <c r="J106">
        <v>1375.511</v>
      </c>
      <c r="K106">
        <v>2.97</v>
      </c>
      <c r="L106">
        <v>7.4530000000000003</v>
      </c>
      <c r="M106">
        <v>64.575999999999993</v>
      </c>
      <c r="N106">
        <v>64.575999999999993</v>
      </c>
      <c r="O106">
        <v>2228.9929999999999</v>
      </c>
      <c r="P106">
        <v>49.484999999999999</v>
      </c>
      <c r="Q106">
        <v>18.696999999999999</v>
      </c>
      <c r="R106">
        <v>1387.6790000000001</v>
      </c>
      <c r="S106">
        <v>273.06400000000002</v>
      </c>
      <c r="T106">
        <v>3.48</v>
      </c>
      <c r="U106">
        <v>9.4359999999999999</v>
      </c>
      <c r="V106">
        <v>33.4</v>
      </c>
      <c r="W106">
        <v>90.563999999999993</v>
      </c>
      <c r="X106">
        <v>11938.793</v>
      </c>
      <c r="Y106">
        <v>23.28</v>
      </c>
      <c r="Z106" s="1">
        <v>131614000000</v>
      </c>
    </row>
    <row r="107" spans="1:26" hidden="1">
      <c r="A107" t="s">
        <v>39</v>
      </c>
      <c r="B107">
        <v>2009</v>
      </c>
      <c r="C107" t="s">
        <v>40</v>
      </c>
      <c r="D107" t="s">
        <v>28</v>
      </c>
      <c r="E107" t="s">
        <v>29</v>
      </c>
      <c r="F107">
        <v>30058207</v>
      </c>
      <c r="G107" s="1">
        <v>259746000000</v>
      </c>
      <c r="H107">
        <v>37.85</v>
      </c>
      <c r="I107">
        <v>43.44</v>
      </c>
      <c r="J107">
        <v>1445.1959999999999</v>
      </c>
      <c r="K107">
        <v>5.59</v>
      </c>
      <c r="L107">
        <v>12.868</v>
      </c>
      <c r="M107">
        <v>68.527000000000001</v>
      </c>
      <c r="N107">
        <v>68.527000000000001</v>
      </c>
      <c r="O107">
        <v>2279.8200000000002</v>
      </c>
      <c r="P107">
        <v>48.085000000000001</v>
      </c>
      <c r="Q107">
        <v>20.213999999999999</v>
      </c>
      <c r="R107">
        <v>1392.547</v>
      </c>
      <c r="S107">
        <v>263.04899999999998</v>
      </c>
      <c r="T107">
        <v>3.23</v>
      </c>
      <c r="U107">
        <v>8.5340000000000007</v>
      </c>
      <c r="V107">
        <v>34.619999999999997</v>
      </c>
      <c r="W107">
        <v>91.465999999999994</v>
      </c>
      <c r="X107">
        <v>11294.105</v>
      </c>
      <c r="Y107">
        <v>24.07</v>
      </c>
      <c r="Z107" s="1">
        <v>111658000000</v>
      </c>
    </row>
    <row r="108" spans="1:26" hidden="1">
      <c r="A108" t="s">
        <v>39</v>
      </c>
      <c r="B108">
        <v>2010</v>
      </c>
      <c r="C108" t="s">
        <v>40</v>
      </c>
      <c r="D108" t="s">
        <v>28</v>
      </c>
      <c r="E108" t="s">
        <v>29</v>
      </c>
      <c r="F108">
        <v>31045367</v>
      </c>
      <c r="G108" s="1">
        <v>297507000000</v>
      </c>
      <c r="H108">
        <v>48.91</v>
      </c>
      <c r="I108">
        <v>55.63</v>
      </c>
      <c r="J108">
        <v>1791.894</v>
      </c>
      <c r="K108">
        <v>6.72</v>
      </c>
      <c r="L108">
        <v>12.08</v>
      </c>
      <c r="M108">
        <v>71.352999999999994</v>
      </c>
      <c r="N108">
        <v>71.352999999999994</v>
      </c>
      <c r="O108">
        <v>2298.3330000000001</v>
      </c>
      <c r="P108">
        <v>30.812000000000001</v>
      </c>
      <c r="Q108">
        <v>18.219000000000001</v>
      </c>
      <c r="R108">
        <v>1405.0619999999999</v>
      </c>
      <c r="S108">
        <v>310.88</v>
      </c>
      <c r="T108">
        <v>4.7699999999999996</v>
      </c>
      <c r="U108">
        <v>9.7530000000000001</v>
      </c>
      <c r="V108">
        <v>44.14</v>
      </c>
      <c r="W108">
        <v>90.247</v>
      </c>
      <c r="X108">
        <v>12635.254000000001</v>
      </c>
      <c r="Y108">
        <v>30.16</v>
      </c>
      <c r="Z108" s="1">
        <v>138517000000</v>
      </c>
    </row>
    <row r="109" spans="1:26" hidden="1">
      <c r="A109" t="s">
        <v>39</v>
      </c>
      <c r="B109">
        <v>2011</v>
      </c>
      <c r="C109" t="s">
        <v>40</v>
      </c>
      <c r="D109" t="s">
        <v>28</v>
      </c>
      <c r="E109" t="s">
        <v>29</v>
      </c>
      <c r="F109">
        <v>32161425</v>
      </c>
      <c r="G109" s="1">
        <v>344221000000</v>
      </c>
      <c r="H109">
        <v>53.9</v>
      </c>
      <c r="I109">
        <v>61.13</v>
      </c>
      <c r="J109">
        <v>1900.7239999999999</v>
      </c>
      <c r="K109">
        <v>7.23</v>
      </c>
      <c r="L109">
        <v>11.827</v>
      </c>
      <c r="M109">
        <v>63.018999999999998</v>
      </c>
      <c r="N109">
        <v>63.018999999999998</v>
      </c>
      <c r="O109">
        <v>1959.4649999999999</v>
      </c>
      <c r="P109">
        <v>33.395000000000003</v>
      </c>
      <c r="Q109">
        <v>15.577999999999999</v>
      </c>
      <c r="R109">
        <v>1579.367</v>
      </c>
      <c r="S109">
        <v>332.70299999999997</v>
      </c>
      <c r="T109">
        <v>3.4</v>
      </c>
      <c r="U109">
        <v>6.3079999999999998</v>
      </c>
      <c r="V109">
        <v>50.5</v>
      </c>
      <c r="W109">
        <v>93.691999999999993</v>
      </c>
      <c r="X109">
        <v>12595.847</v>
      </c>
      <c r="Y109">
        <v>34.51</v>
      </c>
      <c r="Z109" s="1">
        <v>185750000000</v>
      </c>
    </row>
    <row r="110" spans="1:26" hidden="1">
      <c r="A110" t="s">
        <v>39</v>
      </c>
      <c r="B110">
        <v>2012</v>
      </c>
      <c r="C110" t="s">
        <v>40</v>
      </c>
      <c r="D110" t="s">
        <v>28</v>
      </c>
      <c r="E110" t="s">
        <v>29</v>
      </c>
      <c r="F110">
        <v>33654843</v>
      </c>
      <c r="G110" s="1">
        <v>392191000000</v>
      </c>
      <c r="H110">
        <v>46.02</v>
      </c>
      <c r="I110">
        <v>56.19</v>
      </c>
      <c r="J110">
        <v>1669.596</v>
      </c>
      <c r="K110">
        <v>10.17</v>
      </c>
      <c r="L110">
        <v>18.099</v>
      </c>
      <c r="M110">
        <v>63.412999999999997</v>
      </c>
      <c r="N110">
        <v>63.412999999999997</v>
      </c>
      <c r="O110">
        <v>1884.23</v>
      </c>
      <c r="P110">
        <v>22.338000000000001</v>
      </c>
      <c r="Q110">
        <v>14.393000000000001</v>
      </c>
      <c r="R110">
        <v>1759.7950000000001</v>
      </c>
      <c r="S110">
        <v>365.834</v>
      </c>
      <c r="T110">
        <v>4.3899999999999997</v>
      </c>
      <c r="U110">
        <v>9.5389999999999997</v>
      </c>
      <c r="V110">
        <v>41.63</v>
      </c>
      <c r="W110">
        <v>90.460999999999999</v>
      </c>
      <c r="X110">
        <v>13112.636</v>
      </c>
      <c r="Y110">
        <v>28.18</v>
      </c>
      <c r="Z110" s="1">
        <v>218002000000</v>
      </c>
    </row>
    <row r="111" spans="1:26" hidden="1">
      <c r="A111" t="s">
        <v>39</v>
      </c>
      <c r="B111">
        <v>2013</v>
      </c>
      <c r="C111" t="s">
        <v>40</v>
      </c>
      <c r="D111" t="s">
        <v>28</v>
      </c>
      <c r="E111" t="s">
        <v>29</v>
      </c>
      <c r="F111">
        <v>35281987</v>
      </c>
      <c r="G111" s="1">
        <v>422108000000</v>
      </c>
      <c r="H111">
        <v>58.9</v>
      </c>
      <c r="I111">
        <v>68.14</v>
      </c>
      <c r="J111">
        <v>1931.297</v>
      </c>
      <c r="K111">
        <v>9.24</v>
      </c>
      <c r="L111">
        <v>13.56</v>
      </c>
      <c r="M111">
        <v>70.727000000000004</v>
      </c>
      <c r="N111">
        <v>70.727000000000004</v>
      </c>
      <c r="O111">
        <v>2004.6079999999999</v>
      </c>
      <c r="P111">
        <v>21.138000000000002</v>
      </c>
      <c r="Q111">
        <v>14.593</v>
      </c>
      <c r="R111">
        <v>1767.0060000000001</v>
      </c>
      <c r="S111">
        <v>402.03399999999999</v>
      </c>
      <c r="T111">
        <v>4.8099999999999996</v>
      </c>
      <c r="U111">
        <v>8.1660000000000004</v>
      </c>
      <c r="V111">
        <v>54.09</v>
      </c>
      <c r="W111">
        <v>91.834000000000003</v>
      </c>
      <c r="X111">
        <v>13759.075999999999</v>
      </c>
      <c r="Y111">
        <v>36.53</v>
      </c>
      <c r="Z111" s="1">
        <v>234638000000</v>
      </c>
    </row>
    <row r="112" spans="1:26" hidden="1">
      <c r="A112" t="s">
        <v>39</v>
      </c>
      <c r="B112">
        <v>2014</v>
      </c>
      <c r="C112" t="s">
        <v>40</v>
      </c>
      <c r="D112" t="s">
        <v>28</v>
      </c>
      <c r="E112" t="s">
        <v>29</v>
      </c>
      <c r="F112">
        <v>36550058</v>
      </c>
      <c r="G112" s="1">
        <v>425223000000</v>
      </c>
      <c r="H112">
        <v>69.03</v>
      </c>
      <c r="I112">
        <v>77.89</v>
      </c>
      <c r="J112">
        <v>2131.0500000000002</v>
      </c>
      <c r="K112">
        <v>8.86</v>
      </c>
      <c r="L112">
        <v>11.375</v>
      </c>
      <c r="M112">
        <v>75.308000000000007</v>
      </c>
      <c r="N112">
        <v>75.308000000000007</v>
      </c>
      <c r="O112">
        <v>2060.4169999999999</v>
      </c>
      <c r="P112">
        <v>21.946999999999999</v>
      </c>
      <c r="Q112">
        <v>15.797000000000001</v>
      </c>
      <c r="R112">
        <v>1846.9590000000001</v>
      </c>
      <c r="S112">
        <v>394.05099999999999</v>
      </c>
      <c r="T112">
        <v>2.99</v>
      </c>
      <c r="U112">
        <v>4.3310000000000004</v>
      </c>
      <c r="V112">
        <v>66.040000000000006</v>
      </c>
      <c r="W112">
        <v>95.668999999999997</v>
      </c>
      <c r="X112">
        <v>13055.939</v>
      </c>
      <c r="Y112">
        <v>44.54</v>
      </c>
      <c r="Z112" s="1">
        <v>228416000000</v>
      </c>
    </row>
    <row r="113" spans="1:26" hidden="1">
      <c r="A113" t="s">
        <v>39</v>
      </c>
      <c r="B113">
        <v>2015</v>
      </c>
      <c r="C113" t="s">
        <v>40</v>
      </c>
      <c r="D113" t="s">
        <v>28</v>
      </c>
      <c r="E113" t="s">
        <v>29</v>
      </c>
      <c r="F113">
        <v>37560535</v>
      </c>
      <c r="G113" s="1">
        <v>436011000000</v>
      </c>
      <c r="H113">
        <v>70.64</v>
      </c>
      <c r="I113">
        <v>79.81</v>
      </c>
      <c r="J113">
        <v>2124.837</v>
      </c>
      <c r="K113">
        <v>9.17</v>
      </c>
      <c r="L113">
        <v>11.49</v>
      </c>
      <c r="M113">
        <v>73.010999999999996</v>
      </c>
      <c r="N113">
        <v>73.010999999999996</v>
      </c>
      <c r="O113">
        <v>1943.8209999999999</v>
      </c>
      <c r="P113">
        <v>29.827000000000002</v>
      </c>
      <c r="Q113">
        <v>15.505000000000001</v>
      </c>
      <c r="R113">
        <v>2275.0129999999999</v>
      </c>
      <c r="S113">
        <v>391.29700000000003</v>
      </c>
      <c r="T113">
        <v>2.61</v>
      </c>
      <c r="U113">
        <v>3.6949999999999998</v>
      </c>
      <c r="V113">
        <v>68.03</v>
      </c>
      <c r="W113">
        <v>96.305000000000007</v>
      </c>
      <c r="X113">
        <v>12548.263000000001</v>
      </c>
      <c r="Y113">
        <v>46.23</v>
      </c>
      <c r="Z113" s="1">
        <v>166774000000</v>
      </c>
    </row>
    <row r="114" spans="1:26" hidden="1">
      <c r="A114" t="s">
        <v>39</v>
      </c>
      <c r="B114">
        <v>2016</v>
      </c>
      <c r="C114" t="s">
        <v>40</v>
      </c>
      <c r="D114" t="s">
        <v>28</v>
      </c>
      <c r="E114" t="s">
        <v>29</v>
      </c>
      <c r="F114">
        <v>38469628</v>
      </c>
      <c r="G114" s="1">
        <v>502280000000</v>
      </c>
      <c r="H114">
        <v>81.93</v>
      </c>
      <c r="I114">
        <v>90.07</v>
      </c>
      <c r="J114">
        <v>2341.328</v>
      </c>
      <c r="K114">
        <v>8.14</v>
      </c>
      <c r="L114">
        <v>9.0370000000000008</v>
      </c>
      <c r="M114">
        <v>98.956000000000003</v>
      </c>
      <c r="N114">
        <v>98.956000000000003</v>
      </c>
      <c r="O114">
        <v>2572.3090000000002</v>
      </c>
      <c r="P114">
        <v>25.497</v>
      </c>
      <c r="Q114">
        <v>19.629000000000001</v>
      </c>
      <c r="R114">
        <v>2530.7150000000001</v>
      </c>
      <c r="S114">
        <v>396.54899999999998</v>
      </c>
      <c r="T114">
        <v>3.43</v>
      </c>
      <c r="U114">
        <v>4.1870000000000003</v>
      </c>
      <c r="V114">
        <v>78.5</v>
      </c>
      <c r="W114">
        <v>95.813000000000002</v>
      </c>
      <c r="X114">
        <v>13119.014999999999</v>
      </c>
      <c r="Y114">
        <v>53.13</v>
      </c>
      <c r="Z114" s="1">
        <v>166744000000</v>
      </c>
    </row>
    <row r="115" spans="1:26" hidden="1">
      <c r="A115" t="s">
        <v>39</v>
      </c>
      <c r="B115">
        <v>2017</v>
      </c>
      <c r="C115" t="s">
        <v>40</v>
      </c>
      <c r="D115" t="s">
        <v>28</v>
      </c>
      <c r="E115" t="s">
        <v>29</v>
      </c>
      <c r="F115">
        <v>39337358</v>
      </c>
      <c r="G115" s="1">
        <v>485208000000</v>
      </c>
      <c r="H115">
        <v>93.58</v>
      </c>
      <c r="I115">
        <v>99.22</v>
      </c>
      <c r="J115">
        <v>2522.2840000000001</v>
      </c>
      <c r="K115">
        <v>5.64</v>
      </c>
      <c r="L115">
        <v>5.6840000000000002</v>
      </c>
      <c r="M115">
        <v>101.178</v>
      </c>
      <c r="N115">
        <v>114.26900000000001</v>
      </c>
      <c r="O115">
        <v>2572.058</v>
      </c>
      <c r="P115">
        <v>36.064999999999998</v>
      </c>
      <c r="Q115">
        <v>19.105</v>
      </c>
      <c r="R115">
        <v>2586.3009999999999</v>
      </c>
      <c r="S115">
        <v>478.24900000000002</v>
      </c>
      <c r="T115">
        <v>2.2400000000000002</v>
      </c>
      <c r="U115">
        <v>2.3940000000000001</v>
      </c>
      <c r="V115">
        <v>91.34</v>
      </c>
      <c r="W115">
        <v>97.605999999999995</v>
      </c>
      <c r="X115">
        <v>15213.562</v>
      </c>
      <c r="Y115">
        <v>62.4</v>
      </c>
      <c r="Z115" s="1">
        <v>187218000000</v>
      </c>
    </row>
    <row r="116" spans="1:26" hidden="1">
      <c r="A116" t="s">
        <v>39</v>
      </c>
      <c r="B116">
        <v>2018</v>
      </c>
      <c r="C116" t="s">
        <v>40</v>
      </c>
      <c r="D116" t="s">
        <v>28</v>
      </c>
      <c r="E116" t="s">
        <v>29</v>
      </c>
      <c r="F116">
        <v>40265629</v>
      </c>
      <c r="G116" s="1">
        <v>508027000000</v>
      </c>
      <c r="H116">
        <v>98.41</v>
      </c>
      <c r="I116">
        <v>103.09</v>
      </c>
      <c r="J116">
        <v>2560.248</v>
      </c>
      <c r="K116">
        <v>4.68</v>
      </c>
      <c r="L116">
        <v>4.54</v>
      </c>
      <c r="M116">
        <v>105.73699999999999</v>
      </c>
      <c r="N116">
        <v>146.00399999999999</v>
      </c>
      <c r="O116">
        <v>2625.9949999999999</v>
      </c>
      <c r="P116">
        <v>54.314</v>
      </c>
      <c r="Q116">
        <v>23.46</v>
      </c>
      <c r="R116">
        <v>2640.1550000000002</v>
      </c>
      <c r="S116">
        <v>470.88</v>
      </c>
      <c r="T116">
        <v>1.88</v>
      </c>
      <c r="U116">
        <v>1.91</v>
      </c>
      <c r="V116">
        <v>96.53</v>
      </c>
      <c r="W116">
        <v>98.09</v>
      </c>
      <c r="X116">
        <v>15464.541999999999</v>
      </c>
      <c r="Y116">
        <v>67.12</v>
      </c>
      <c r="Z116" s="1">
        <v>227367000000</v>
      </c>
    </row>
    <row r="117" spans="1:26" hidden="1">
      <c r="A117" t="s">
        <v>39</v>
      </c>
      <c r="B117">
        <v>2019</v>
      </c>
      <c r="C117" t="s">
        <v>40</v>
      </c>
      <c r="D117" t="s">
        <v>28</v>
      </c>
      <c r="E117" t="s">
        <v>29</v>
      </c>
      <c r="F117">
        <v>41192172</v>
      </c>
      <c r="G117" s="1">
        <v>537548000000</v>
      </c>
      <c r="H117">
        <v>115.21</v>
      </c>
      <c r="I117">
        <v>121.76</v>
      </c>
      <c r="J117">
        <v>2955.9009999999998</v>
      </c>
      <c r="K117">
        <v>6.55</v>
      </c>
      <c r="L117">
        <v>5.3789999999999996</v>
      </c>
      <c r="M117">
        <v>109.669</v>
      </c>
      <c r="N117">
        <v>194.952</v>
      </c>
      <c r="O117">
        <v>2662.364</v>
      </c>
      <c r="P117">
        <v>57.668999999999997</v>
      </c>
      <c r="Q117">
        <v>29.23</v>
      </c>
      <c r="R117">
        <v>2723.98</v>
      </c>
      <c r="S117">
        <v>458.79500000000002</v>
      </c>
      <c r="T117">
        <v>5.0199999999999996</v>
      </c>
      <c r="U117">
        <v>4.3570000000000002</v>
      </c>
      <c r="V117">
        <v>110.19</v>
      </c>
      <c r="W117">
        <v>95.643000000000001</v>
      </c>
      <c r="X117">
        <v>16212.383</v>
      </c>
      <c r="Y117">
        <v>77.06</v>
      </c>
      <c r="Z117" s="1">
        <v>233636000000</v>
      </c>
    </row>
    <row r="118" spans="1:26" hidden="1">
      <c r="A118" t="s">
        <v>39</v>
      </c>
      <c r="B118">
        <v>2020</v>
      </c>
      <c r="C118" t="s">
        <v>40</v>
      </c>
      <c r="D118" t="s">
        <v>28</v>
      </c>
      <c r="E118" t="s">
        <v>29</v>
      </c>
      <c r="F118">
        <v>42116602</v>
      </c>
      <c r="G118" s="1">
        <v>453148000000</v>
      </c>
      <c r="H118">
        <v>117.12</v>
      </c>
      <c r="I118">
        <v>124.57</v>
      </c>
      <c r="J118">
        <v>2957.741</v>
      </c>
      <c r="K118">
        <v>7.45</v>
      </c>
      <c r="L118">
        <v>5.9809999999999999</v>
      </c>
      <c r="M118">
        <v>70.054000000000002</v>
      </c>
      <c r="N118">
        <v>184.851</v>
      </c>
      <c r="O118">
        <v>1663.3230000000001</v>
      </c>
      <c r="P118">
        <v>61.057000000000002</v>
      </c>
      <c r="Q118">
        <v>31.117000000000001</v>
      </c>
      <c r="R118">
        <v>2349.6999999999998</v>
      </c>
      <c r="S118">
        <v>397.99599999999998</v>
      </c>
      <c r="T118">
        <v>4.54</v>
      </c>
      <c r="U118">
        <v>3.8759999999999999</v>
      </c>
      <c r="V118">
        <v>112.58</v>
      </c>
      <c r="W118">
        <v>96.123999999999995</v>
      </c>
      <c r="X118">
        <v>14121.946</v>
      </c>
      <c r="Y118">
        <v>78.959999999999994</v>
      </c>
      <c r="Z118" s="1">
        <v>180899000000</v>
      </c>
    </row>
    <row r="119" spans="1:26" hidden="1">
      <c r="A119" t="s">
        <v>39</v>
      </c>
      <c r="B119">
        <v>2021</v>
      </c>
      <c r="C119" t="s">
        <v>40</v>
      </c>
      <c r="D119" t="s">
        <v>28</v>
      </c>
      <c r="E119" t="s">
        <v>29</v>
      </c>
      <c r="F119">
        <v>43071208</v>
      </c>
      <c r="G119" s="1">
        <v>487936000000</v>
      </c>
      <c r="H119">
        <v>120.46</v>
      </c>
      <c r="I119">
        <v>125.56</v>
      </c>
      <c r="J119">
        <v>2915.172</v>
      </c>
      <c r="K119">
        <v>5.0999999999999996</v>
      </c>
      <c r="L119">
        <v>4.0620000000000003</v>
      </c>
      <c r="M119">
        <v>91.07</v>
      </c>
      <c r="N119">
        <v>164.19300000000001</v>
      </c>
      <c r="O119">
        <v>2114.3960000000002</v>
      </c>
      <c r="P119">
        <v>58.832999999999998</v>
      </c>
      <c r="Q119">
        <v>26.574000000000002</v>
      </c>
      <c r="R119">
        <v>2335.6460000000002</v>
      </c>
      <c r="S119">
        <v>444.5</v>
      </c>
      <c r="T119">
        <v>3.73</v>
      </c>
      <c r="U119">
        <v>3.0960000000000001</v>
      </c>
      <c r="V119">
        <v>116.73</v>
      </c>
      <c r="W119">
        <v>96.903999999999996</v>
      </c>
      <c r="X119">
        <v>14358.384</v>
      </c>
      <c r="Y119">
        <v>81.64</v>
      </c>
      <c r="Z119" s="1">
        <v>209692000000</v>
      </c>
    </row>
    <row r="120" spans="1:26" hidden="1">
      <c r="A120" t="s">
        <v>39</v>
      </c>
      <c r="B120">
        <v>2022</v>
      </c>
      <c r="C120" t="s">
        <v>40</v>
      </c>
      <c r="D120" t="s">
        <v>28</v>
      </c>
      <c r="E120" t="s">
        <v>29</v>
      </c>
      <c r="F120">
        <v>44070556</v>
      </c>
      <c r="G120" s="1">
        <v>527639000000</v>
      </c>
      <c r="H120">
        <v>133.86000000000001</v>
      </c>
      <c r="I120">
        <v>137.38999999999999</v>
      </c>
      <c r="J120">
        <v>3117.5010000000002</v>
      </c>
      <c r="K120">
        <v>3.53</v>
      </c>
      <c r="L120">
        <v>2.569</v>
      </c>
      <c r="M120">
        <v>92.891000000000005</v>
      </c>
      <c r="N120">
        <v>183.61600000000001</v>
      </c>
      <c r="O120">
        <v>2107.779</v>
      </c>
      <c r="P120">
        <v>67.414000000000001</v>
      </c>
      <c r="Q120">
        <v>27.02</v>
      </c>
      <c r="R120">
        <v>2573.837</v>
      </c>
      <c r="S120">
        <v>488.49599999999998</v>
      </c>
      <c r="T120">
        <v>3.03</v>
      </c>
      <c r="U120">
        <v>2.2639999999999998</v>
      </c>
      <c r="V120">
        <v>130.83000000000001</v>
      </c>
      <c r="W120">
        <v>97.736000000000004</v>
      </c>
      <c r="X120">
        <v>15429.901</v>
      </c>
      <c r="Y120">
        <v>92.19</v>
      </c>
      <c r="Z120" s="1">
        <v>287372000000</v>
      </c>
    </row>
    <row r="121" spans="1:26" hidden="1">
      <c r="A121" t="s">
        <v>39</v>
      </c>
      <c r="B121">
        <v>2023</v>
      </c>
      <c r="C121" t="s">
        <v>40</v>
      </c>
      <c r="D121" t="s">
        <v>28</v>
      </c>
      <c r="E121" t="s">
        <v>29</v>
      </c>
      <c r="F121">
        <v>45074055</v>
      </c>
      <c r="G121" s="1">
        <v>597631000000</v>
      </c>
      <c r="H121">
        <v>145.01</v>
      </c>
      <c r="I121">
        <v>151.83000000000001</v>
      </c>
      <c r="J121">
        <v>3368.4569999999999</v>
      </c>
      <c r="K121">
        <v>6.82</v>
      </c>
      <c r="L121">
        <v>4.492</v>
      </c>
      <c r="M121">
        <v>104.148</v>
      </c>
      <c r="N121">
        <v>192.285</v>
      </c>
      <c r="O121">
        <v>2310.6089999999999</v>
      </c>
      <c r="P121">
        <v>52.19</v>
      </c>
      <c r="Q121">
        <v>26.797000000000001</v>
      </c>
      <c r="R121">
        <v>2477.6640000000002</v>
      </c>
      <c r="S121">
        <v>520.97400000000005</v>
      </c>
      <c r="T121">
        <v>1.76</v>
      </c>
      <c r="U121">
        <v>1.214</v>
      </c>
      <c r="V121">
        <v>143.25</v>
      </c>
      <c r="W121">
        <v>98.786000000000001</v>
      </c>
      <c r="X121">
        <v>15925.554</v>
      </c>
      <c r="Y121">
        <v>99.35</v>
      </c>
      <c r="Z121" s="1">
        <v>268881000000</v>
      </c>
    </row>
    <row r="122" spans="1:26" hidden="1">
      <c r="A122" t="s">
        <v>41</v>
      </c>
      <c r="B122">
        <v>2000</v>
      </c>
      <c r="C122" t="s">
        <v>42</v>
      </c>
      <c r="D122" t="s">
        <v>28</v>
      </c>
      <c r="E122" t="s">
        <v>43</v>
      </c>
      <c r="F122">
        <v>6111194</v>
      </c>
      <c r="G122" s="1">
        <v>158656000000</v>
      </c>
      <c r="H122">
        <v>42.66</v>
      </c>
      <c r="I122">
        <v>41.2</v>
      </c>
      <c r="J122">
        <v>6741.7269999999999</v>
      </c>
      <c r="K122">
        <v>-1.46</v>
      </c>
      <c r="L122">
        <v>-3.544</v>
      </c>
      <c r="M122">
        <v>9.0999999999999998E-2</v>
      </c>
      <c r="N122">
        <v>9.0999999999999998E-2</v>
      </c>
      <c r="O122">
        <v>14.864000000000001</v>
      </c>
      <c r="P122">
        <v>2.3E-2</v>
      </c>
      <c r="Q122">
        <v>0.04</v>
      </c>
      <c r="R122">
        <v>5.0999999999999997E-2</v>
      </c>
      <c r="S122">
        <v>154.44399999999999</v>
      </c>
      <c r="T122">
        <v>0.03</v>
      </c>
      <c r="U122">
        <v>7.0000000000000007E-2</v>
      </c>
      <c r="V122">
        <v>42.63</v>
      </c>
      <c r="W122">
        <v>99.93</v>
      </c>
      <c r="X122">
        <v>37205.684000000001</v>
      </c>
      <c r="Y122">
        <v>33.89</v>
      </c>
      <c r="Z122" s="1">
        <v>136410000000</v>
      </c>
    </row>
    <row r="123" spans="1:26" hidden="1">
      <c r="A123" t="s">
        <v>41</v>
      </c>
      <c r="B123">
        <v>2001</v>
      </c>
      <c r="C123" t="s">
        <v>42</v>
      </c>
      <c r="D123" t="s">
        <v>28</v>
      </c>
      <c r="E123" t="s">
        <v>43</v>
      </c>
      <c r="F123">
        <v>6259977</v>
      </c>
      <c r="G123" s="1">
        <v>158567000000</v>
      </c>
      <c r="H123">
        <v>43.95</v>
      </c>
      <c r="I123">
        <v>42.55</v>
      </c>
      <c r="J123">
        <v>6797.1490000000003</v>
      </c>
      <c r="K123">
        <v>-1.4</v>
      </c>
      <c r="L123">
        <v>-3.29</v>
      </c>
      <c r="M123">
        <v>9.5000000000000001E-2</v>
      </c>
      <c r="N123">
        <v>9.5000000000000001E-2</v>
      </c>
      <c r="O123">
        <v>15.198</v>
      </c>
      <c r="P123">
        <v>2.3E-2</v>
      </c>
      <c r="Q123">
        <v>4.2000000000000003E-2</v>
      </c>
      <c r="R123">
        <v>5.0999999999999997E-2</v>
      </c>
      <c r="S123">
        <v>143.09</v>
      </c>
      <c r="T123">
        <v>0.02</v>
      </c>
      <c r="U123">
        <v>4.5999999999999999E-2</v>
      </c>
      <c r="V123">
        <v>43.93</v>
      </c>
      <c r="W123">
        <v>99.953999999999994</v>
      </c>
      <c r="X123">
        <v>36296.055</v>
      </c>
      <c r="Y123">
        <v>35.49</v>
      </c>
      <c r="Z123" s="1">
        <v>134889000000</v>
      </c>
    </row>
    <row r="124" spans="1:26" hidden="1">
      <c r="A124" t="s">
        <v>41</v>
      </c>
      <c r="B124">
        <v>2002</v>
      </c>
      <c r="C124" t="s">
        <v>42</v>
      </c>
      <c r="D124" t="s">
        <v>28</v>
      </c>
      <c r="E124" t="s">
        <v>43</v>
      </c>
      <c r="F124">
        <v>6387714</v>
      </c>
      <c r="G124" s="1">
        <v>158018000000</v>
      </c>
      <c r="H124">
        <v>45.5</v>
      </c>
      <c r="I124">
        <v>44.11</v>
      </c>
      <c r="J124">
        <v>6905.4440000000004</v>
      </c>
      <c r="K124">
        <v>-1.39</v>
      </c>
      <c r="L124">
        <v>-3.1509999999999998</v>
      </c>
      <c r="M124">
        <v>8.5000000000000006E-2</v>
      </c>
      <c r="N124">
        <v>8.5000000000000006E-2</v>
      </c>
      <c r="O124">
        <v>13.295</v>
      </c>
      <c r="P124">
        <v>6.6000000000000003E-2</v>
      </c>
      <c r="Q124">
        <v>3.6999999999999998E-2</v>
      </c>
      <c r="R124">
        <v>6.3E-2</v>
      </c>
      <c r="S124">
        <v>142.726</v>
      </c>
      <c r="T124">
        <v>0.03</v>
      </c>
      <c r="U124">
        <v>6.6000000000000003E-2</v>
      </c>
      <c r="V124">
        <v>45.47</v>
      </c>
      <c r="W124">
        <v>99.933999999999997</v>
      </c>
      <c r="X124">
        <v>36285.675999999999</v>
      </c>
      <c r="Y124">
        <v>36.93</v>
      </c>
      <c r="Z124" s="1">
        <v>125216000000</v>
      </c>
    </row>
    <row r="125" spans="1:26" hidden="1">
      <c r="A125" t="s">
        <v>41</v>
      </c>
      <c r="B125">
        <v>2003</v>
      </c>
      <c r="C125" t="s">
        <v>42</v>
      </c>
      <c r="D125" t="s">
        <v>28</v>
      </c>
      <c r="E125" t="s">
        <v>43</v>
      </c>
      <c r="F125">
        <v>6502821</v>
      </c>
      <c r="G125" s="1">
        <v>159163000000</v>
      </c>
      <c r="H125">
        <v>47.04</v>
      </c>
      <c r="I125">
        <v>45.57</v>
      </c>
      <c r="J125">
        <v>7007.7280000000001</v>
      </c>
      <c r="K125">
        <v>-1.47</v>
      </c>
      <c r="L125">
        <v>-3.226</v>
      </c>
      <c r="M125">
        <v>7.6999999999999999E-2</v>
      </c>
      <c r="N125">
        <v>7.6999999999999999E-2</v>
      </c>
      <c r="O125">
        <v>11.861000000000001</v>
      </c>
      <c r="P125">
        <v>6.4000000000000001E-2</v>
      </c>
      <c r="Q125">
        <v>3.2000000000000001E-2</v>
      </c>
      <c r="R125">
        <v>3.7999999999999999E-2</v>
      </c>
      <c r="S125">
        <v>146.52600000000001</v>
      </c>
      <c r="T125">
        <v>0.04</v>
      </c>
      <c r="U125">
        <v>8.5000000000000006E-2</v>
      </c>
      <c r="V125">
        <v>47</v>
      </c>
      <c r="W125">
        <v>99.915000000000006</v>
      </c>
      <c r="X125">
        <v>36728.059000000001</v>
      </c>
      <c r="Y125">
        <v>38.14</v>
      </c>
      <c r="Z125" s="1">
        <v>131279000000</v>
      </c>
    </row>
    <row r="126" spans="1:26" hidden="1">
      <c r="A126" t="s">
        <v>41</v>
      </c>
      <c r="B126">
        <v>2004</v>
      </c>
      <c r="C126" t="s">
        <v>42</v>
      </c>
      <c r="D126" t="s">
        <v>28</v>
      </c>
      <c r="E126" t="s">
        <v>43</v>
      </c>
      <c r="F126">
        <v>6615084</v>
      </c>
      <c r="G126" s="1">
        <v>166466000000</v>
      </c>
      <c r="H126">
        <v>47.28</v>
      </c>
      <c r="I126">
        <v>45.82</v>
      </c>
      <c r="J126">
        <v>6926.5940000000001</v>
      </c>
      <c r="K126">
        <v>-1.46</v>
      </c>
      <c r="L126">
        <v>-3.1859999999999999</v>
      </c>
      <c r="M126">
        <v>11.32</v>
      </c>
      <c r="N126">
        <v>11.294</v>
      </c>
      <c r="O126">
        <v>1711.277</v>
      </c>
      <c r="P126">
        <v>9.1790000000000003</v>
      </c>
      <c r="Q126">
        <v>4.6390000000000002</v>
      </c>
      <c r="R126">
        <v>4.8000000000000001E-2</v>
      </c>
      <c r="S126">
        <v>139.08600000000001</v>
      </c>
      <c r="T126">
        <v>0.04</v>
      </c>
      <c r="U126">
        <v>8.5000000000000006E-2</v>
      </c>
      <c r="V126">
        <v>47.24</v>
      </c>
      <c r="W126">
        <v>99.915000000000006</v>
      </c>
      <c r="X126">
        <v>36808.152000000002</v>
      </c>
      <c r="Y126">
        <v>38</v>
      </c>
      <c r="Z126" s="1">
        <v>139925000000</v>
      </c>
    </row>
    <row r="127" spans="1:26" hidden="1">
      <c r="A127" t="s">
        <v>41</v>
      </c>
      <c r="B127">
        <v>2005</v>
      </c>
      <c r="C127" t="s">
        <v>42</v>
      </c>
      <c r="D127" t="s">
        <v>28</v>
      </c>
      <c r="E127" t="s">
        <v>43</v>
      </c>
      <c r="F127">
        <v>6728212</v>
      </c>
      <c r="G127" s="1">
        <v>172697000000</v>
      </c>
      <c r="H127">
        <v>48.61</v>
      </c>
      <c r="I127">
        <v>46.94</v>
      </c>
      <c r="J127">
        <v>6976.5929999999998</v>
      </c>
      <c r="K127">
        <v>-1.67</v>
      </c>
      <c r="L127">
        <v>-3.5579999999999998</v>
      </c>
      <c r="M127">
        <v>15.711</v>
      </c>
      <c r="N127">
        <v>15.565</v>
      </c>
      <c r="O127">
        <v>2335.0219999999999</v>
      </c>
      <c r="P127">
        <v>11.582000000000001</v>
      </c>
      <c r="Q127">
        <v>6.3620000000000001</v>
      </c>
      <c r="R127">
        <v>6.3E-2</v>
      </c>
      <c r="S127">
        <v>136.45400000000001</v>
      </c>
      <c r="T127">
        <v>0.04</v>
      </c>
      <c r="U127">
        <v>8.2000000000000003E-2</v>
      </c>
      <c r="V127">
        <v>48.57</v>
      </c>
      <c r="W127">
        <v>99.918000000000006</v>
      </c>
      <c r="X127">
        <v>36361.737999999998</v>
      </c>
      <c r="Y127">
        <v>38.700000000000003</v>
      </c>
      <c r="Z127" s="1">
        <v>147346000000</v>
      </c>
    </row>
    <row r="128" spans="1:26" hidden="1">
      <c r="A128" t="s">
        <v>41</v>
      </c>
      <c r="B128">
        <v>2006</v>
      </c>
      <c r="C128" t="s">
        <v>42</v>
      </c>
      <c r="D128" t="s">
        <v>28</v>
      </c>
      <c r="E128" t="s">
        <v>43</v>
      </c>
      <c r="F128">
        <v>6844029</v>
      </c>
      <c r="G128" s="1">
        <v>181911000000</v>
      </c>
      <c r="H128">
        <v>50.56</v>
      </c>
      <c r="I128">
        <v>48.72</v>
      </c>
      <c r="J128">
        <v>7118.6139999999996</v>
      </c>
      <c r="K128">
        <v>-1.84</v>
      </c>
      <c r="L128">
        <v>-3.7770000000000001</v>
      </c>
      <c r="M128">
        <v>21.952000000000002</v>
      </c>
      <c r="N128">
        <v>21.734000000000002</v>
      </c>
      <c r="O128">
        <v>3207.538</v>
      </c>
      <c r="P128">
        <v>17.978999999999999</v>
      </c>
      <c r="Q128">
        <v>8.8369999999999997</v>
      </c>
      <c r="R128">
        <v>6.3E-2</v>
      </c>
      <c r="S128">
        <v>132.768</v>
      </c>
      <c r="T128">
        <v>0.02</v>
      </c>
      <c r="U128">
        <v>0.04</v>
      </c>
      <c r="V128">
        <v>50.54</v>
      </c>
      <c r="W128">
        <v>99.96</v>
      </c>
      <c r="X128">
        <v>35937.851999999999</v>
      </c>
      <c r="Y128">
        <v>39.61</v>
      </c>
      <c r="Z128" s="1">
        <v>158707000000</v>
      </c>
    </row>
    <row r="129" spans="1:26" hidden="1">
      <c r="A129" t="s">
        <v>41</v>
      </c>
      <c r="B129">
        <v>2007</v>
      </c>
      <c r="C129" t="s">
        <v>42</v>
      </c>
      <c r="D129" t="s">
        <v>28</v>
      </c>
      <c r="E129" t="s">
        <v>43</v>
      </c>
      <c r="F129">
        <v>6962456</v>
      </c>
      <c r="G129" s="1">
        <v>192597000000</v>
      </c>
      <c r="H129">
        <v>53.79</v>
      </c>
      <c r="I129">
        <v>51.71</v>
      </c>
      <c r="J129">
        <v>7426.9769999999999</v>
      </c>
      <c r="K129">
        <v>-2.08</v>
      </c>
      <c r="L129">
        <v>-4.0220000000000002</v>
      </c>
      <c r="M129">
        <v>26.175000000000001</v>
      </c>
      <c r="N129">
        <v>26.004999999999999</v>
      </c>
      <c r="O129">
        <v>3759.498</v>
      </c>
      <c r="P129">
        <v>19.649999999999999</v>
      </c>
      <c r="Q129">
        <v>10.195</v>
      </c>
      <c r="R129">
        <v>6.3E-2</v>
      </c>
      <c r="S129">
        <v>135.56299999999999</v>
      </c>
      <c r="T129">
        <v>0.02</v>
      </c>
      <c r="U129">
        <v>3.6999999999999998E-2</v>
      </c>
      <c r="V129">
        <v>53.77</v>
      </c>
      <c r="W129">
        <v>99.962999999999994</v>
      </c>
      <c r="X129">
        <v>36637.171999999999</v>
      </c>
      <c r="Y129">
        <v>41.92</v>
      </c>
      <c r="Z129" s="1">
        <v>184449000000</v>
      </c>
    </row>
    <row r="130" spans="1:26" hidden="1">
      <c r="A130" t="s">
        <v>41</v>
      </c>
      <c r="B130">
        <v>2008</v>
      </c>
      <c r="C130" t="s">
        <v>42</v>
      </c>
      <c r="D130" t="s">
        <v>28</v>
      </c>
      <c r="E130" t="s">
        <v>43</v>
      </c>
      <c r="F130">
        <v>7082621</v>
      </c>
      <c r="G130" s="1">
        <v>197786000000</v>
      </c>
      <c r="H130">
        <v>56.79</v>
      </c>
      <c r="I130">
        <v>53.12</v>
      </c>
      <c r="J130">
        <v>7500.0479999999998</v>
      </c>
      <c r="K130">
        <v>-3.67</v>
      </c>
      <c r="L130">
        <v>-6.9089999999999998</v>
      </c>
      <c r="M130">
        <v>32.615000000000002</v>
      </c>
      <c r="N130">
        <v>35.78</v>
      </c>
      <c r="O130">
        <v>4604.9089999999997</v>
      </c>
      <c r="P130">
        <v>27.082000000000001</v>
      </c>
      <c r="Q130">
        <v>13.635</v>
      </c>
      <c r="R130">
        <v>6.4000000000000001E-2</v>
      </c>
      <c r="S130">
        <v>134.59200000000001</v>
      </c>
      <c r="T130">
        <v>0.04</v>
      </c>
      <c r="U130">
        <v>7.0000000000000007E-2</v>
      </c>
      <c r="V130">
        <v>56.75</v>
      </c>
      <c r="W130">
        <v>99.93</v>
      </c>
      <c r="X130">
        <v>37052.305</v>
      </c>
      <c r="Y130">
        <v>43.07</v>
      </c>
      <c r="Z130" s="1">
        <v>220952000000</v>
      </c>
    </row>
    <row r="131" spans="1:26" hidden="1">
      <c r="A131" t="s">
        <v>41</v>
      </c>
      <c r="B131">
        <v>2009</v>
      </c>
      <c r="C131" t="s">
        <v>42</v>
      </c>
      <c r="D131" t="s">
        <v>28</v>
      </c>
      <c r="E131" t="s">
        <v>43</v>
      </c>
      <c r="F131">
        <v>7206096</v>
      </c>
      <c r="G131" s="1">
        <v>199771000000</v>
      </c>
      <c r="H131">
        <v>54.73</v>
      </c>
      <c r="I131">
        <v>50.95</v>
      </c>
      <c r="J131">
        <v>7070.4030000000002</v>
      </c>
      <c r="K131">
        <v>-3.78</v>
      </c>
      <c r="L131">
        <v>-7.4189999999999996</v>
      </c>
      <c r="M131">
        <v>25.34</v>
      </c>
      <c r="N131">
        <v>39.670999999999999</v>
      </c>
      <c r="O131">
        <v>3516.5189999999998</v>
      </c>
      <c r="P131">
        <v>32.924999999999997</v>
      </c>
      <c r="Q131">
        <v>15.561</v>
      </c>
      <c r="R131">
        <v>6.3E-2</v>
      </c>
      <c r="S131">
        <v>124.92700000000001</v>
      </c>
      <c r="T131">
        <v>0.09</v>
      </c>
      <c r="U131">
        <v>0.16400000000000001</v>
      </c>
      <c r="V131">
        <v>54.64</v>
      </c>
      <c r="W131">
        <v>99.835999999999999</v>
      </c>
      <c r="X131">
        <v>35380.597999999998</v>
      </c>
      <c r="Y131">
        <v>41.26</v>
      </c>
      <c r="Z131" s="1">
        <v>213113000000</v>
      </c>
    </row>
    <row r="132" spans="1:26" hidden="1">
      <c r="A132" t="s">
        <v>41</v>
      </c>
      <c r="B132">
        <v>2010</v>
      </c>
      <c r="C132" t="s">
        <v>42</v>
      </c>
      <c r="D132" t="s">
        <v>28</v>
      </c>
      <c r="E132" t="s">
        <v>43</v>
      </c>
      <c r="F132">
        <v>7336735</v>
      </c>
      <c r="G132" s="1">
        <v>210328000000</v>
      </c>
      <c r="H132">
        <v>58.55</v>
      </c>
      <c r="I132">
        <v>54.58</v>
      </c>
      <c r="J132">
        <v>7439.277</v>
      </c>
      <c r="K132">
        <v>-3.97</v>
      </c>
      <c r="L132">
        <v>-7.274</v>
      </c>
      <c r="M132">
        <v>30.75</v>
      </c>
      <c r="N132">
        <v>50.680999999999997</v>
      </c>
      <c r="O132">
        <v>4191.2529999999997</v>
      </c>
      <c r="P132">
        <v>37.488999999999997</v>
      </c>
      <c r="Q132">
        <v>19.122</v>
      </c>
      <c r="R132">
        <v>6.3E-2</v>
      </c>
      <c r="S132">
        <v>123.848</v>
      </c>
      <c r="T132">
        <v>0.17</v>
      </c>
      <c r="U132">
        <v>0.28999999999999998</v>
      </c>
      <c r="V132">
        <v>58.38</v>
      </c>
      <c r="W132">
        <v>99.71</v>
      </c>
      <c r="X132">
        <v>36127.625</v>
      </c>
      <c r="Y132">
        <v>43.37</v>
      </c>
      <c r="Z132" s="1">
        <v>239373000000</v>
      </c>
    </row>
    <row r="133" spans="1:26" hidden="1">
      <c r="A133" t="s">
        <v>41</v>
      </c>
      <c r="B133">
        <v>2011</v>
      </c>
      <c r="C133" t="s">
        <v>42</v>
      </c>
      <c r="D133" t="s">
        <v>28</v>
      </c>
      <c r="E133" t="s">
        <v>43</v>
      </c>
      <c r="F133">
        <v>7471023</v>
      </c>
      <c r="G133" s="1">
        <v>220210000000</v>
      </c>
      <c r="H133">
        <v>59.6</v>
      </c>
      <c r="I133">
        <v>55.38</v>
      </c>
      <c r="J133">
        <v>7412.64</v>
      </c>
      <c r="K133">
        <v>-4.22</v>
      </c>
      <c r="L133">
        <v>-7.62</v>
      </c>
      <c r="M133">
        <v>40.430999999999997</v>
      </c>
      <c r="N133">
        <v>47.073999999999998</v>
      </c>
      <c r="O133">
        <v>5411.67</v>
      </c>
      <c r="P133">
        <v>33.137999999999998</v>
      </c>
      <c r="Q133">
        <v>17.434000000000001</v>
      </c>
      <c r="R133">
        <v>0.247</v>
      </c>
      <c r="S133">
        <v>129.74</v>
      </c>
      <c r="T133">
        <v>0.3</v>
      </c>
      <c r="U133">
        <v>0.503</v>
      </c>
      <c r="V133">
        <v>59.3</v>
      </c>
      <c r="W133">
        <v>99.497</v>
      </c>
      <c r="X133">
        <v>36147.910000000003</v>
      </c>
      <c r="Y133">
        <v>44.37</v>
      </c>
      <c r="Z133" s="1">
        <v>267739000000</v>
      </c>
    </row>
    <row r="134" spans="1:26" hidden="1">
      <c r="A134" t="s">
        <v>41</v>
      </c>
      <c r="B134">
        <v>2012</v>
      </c>
      <c r="C134" t="s">
        <v>42</v>
      </c>
      <c r="D134" t="s">
        <v>28</v>
      </c>
      <c r="E134" t="s">
        <v>43</v>
      </c>
      <c r="F134">
        <v>7607781</v>
      </c>
      <c r="G134" s="1">
        <v>225909000000</v>
      </c>
      <c r="H134">
        <v>63.01</v>
      </c>
      <c r="I134">
        <v>58.58</v>
      </c>
      <c r="J134">
        <v>7700.0119999999997</v>
      </c>
      <c r="K134">
        <v>-4.43</v>
      </c>
      <c r="L134">
        <v>-7.5620000000000003</v>
      </c>
      <c r="M134">
        <v>23.66</v>
      </c>
      <c r="N134">
        <v>24.201000000000001</v>
      </c>
      <c r="O134">
        <v>3109.9209999999998</v>
      </c>
      <c r="P134">
        <v>16.774999999999999</v>
      </c>
      <c r="Q134">
        <v>8.5619999999999994</v>
      </c>
      <c r="R134">
        <v>0.248</v>
      </c>
      <c r="S134">
        <v>154.56700000000001</v>
      </c>
      <c r="T134">
        <v>0.49</v>
      </c>
      <c r="U134">
        <v>0.77800000000000002</v>
      </c>
      <c r="V134">
        <v>62.52</v>
      </c>
      <c r="W134">
        <v>99.221999999999994</v>
      </c>
      <c r="X134">
        <v>37162.938000000002</v>
      </c>
      <c r="Y134">
        <v>48</v>
      </c>
      <c r="Z134" s="1">
        <v>263172000000</v>
      </c>
    </row>
    <row r="135" spans="1:26" hidden="1">
      <c r="A135" t="s">
        <v>41</v>
      </c>
      <c r="B135">
        <v>2013</v>
      </c>
      <c r="C135" t="s">
        <v>42</v>
      </c>
      <c r="D135" t="s">
        <v>28</v>
      </c>
      <c r="E135" t="s">
        <v>43</v>
      </c>
      <c r="F135">
        <v>7749369</v>
      </c>
      <c r="G135" s="1">
        <v>235886000000</v>
      </c>
      <c r="H135">
        <v>61.32</v>
      </c>
      <c r="I135">
        <v>56.64</v>
      </c>
      <c r="J135">
        <v>7308.982</v>
      </c>
      <c r="K135">
        <v>-4.68</v>
      </c>
      <c r="L135">
        <v>-8.2629999999999999</v>
      </c>
      <c r="M135">
        <v>60.634</v>
      </c>
      <c r="N135">
        <v>65.771000000000001</v>
      </c>
      <c r="O135">
        <v>7824.3549999999996</v>
      </c>
      <c r="P135">
        <v>43.02</v>
      </c>
      <c r="Q135">
        <v>24.625</v>
      </c>
      <c r="R135">
        <v>0.247</v>
      </c>
      <c r="S135">
        <v>117.322</v>
      </c>
      <c r="T135">
        <v>0.56999999999999995</v>
      </c>
      <c r="U135">
        <v>0.93</v>
      </c>
      <c r="V135">
        <v>60.75</v>
      </c>
      <c r="W135">
        <v>99.07</v>
      </c>
      <c r="X135">
        <v>34478.061999999998</v>
      </c>
      <c r="Y135">
        <v>44.14</v>
      </c>
      <c r="Z135" s="1">
        <v>298045000000</v>
      </c>
    </row>
    <row r="136" spans="1:26" hidden="1">
      <c r="A136" t="s">
        <v>41</v>
      </c>
      <c r="B136">
        <v>2014</v>
      </c>
      <c r="C136" t="s">
        <v>42</v>
      </c>
      <c r="D136" t="s">
        <v>28</v>
      </c>
      <c r="E136" t="s">
        <v>43</v>
      </c>
      <c r="F136">
        <v>7897173</v>
      </c>
      <c r="G136" s="1">
        <v>245130000000</v>
      </c>
      <c r="H136">
        <v>60.86</v>
      </c>
      <c r="I136">
        <v>56.02</v>
      </c>
      <c r="J136">
        <v>7093.6779999999999</v>
      </c>
      <c r="K136">
        <v>-4.84</v>
      </c>
      <c r="L136">
        <v>-8.64</v>
      </c>
      <c r="M136">
        <v>71.465999999999994</v>
      </c>
      <c r="N136">
        <v>71.844999999999999</v>
      </c>
      <c r="O136">
        <v>9049.51</v>
      </c>
      <c r="P136">
        <v>48.405999999999999</v>
      </c>
      <c r="Q136">
        <v>27.582999999999998</v>
      </c>
      <c r="R136">
        <v>0.247</v>
      </c>
      <c r="S136">
        <v>109.441</v>
      </c>
      <c r="T136">
        <v>0.96</v>
      </c>
      <c r="U136">
        <v>1.577</v>
      </c>
      <c r="V136">
        <v>59.9</v>
      </c>
      <c r="W136">
        <v>98.423000000000002</v>
      </c>
      <c r="X136">
        <v>33001.949000000001</v>
      </c>
      <c r="Y136">
        <v>42.93</v>
      </c>
      <c r="Z136" s="1">
        <v>314377000000</v>
      </c>
    </row>
    <row r="137" spans="1:26" hidden="1">
      <c r="A137" t="s">
        <v>41</v>
      </c>
      <c r="B137">
        <v>2015</v>
      </c>
      <c r="C137" t="s">
        <v>42</v>
      </c>
      <c r="D137" t="s">
        <v>28</v>
      </c>
      <c r="E137" t="s">
        <v>43</v>
      </c>
      <c r="F137">
        <v>8052916</v>
      </c>
      <c r="G137" s="1">
        <v>251224000000</v>
      </c>
      <c r="H137">
        <v>64.23</v>
      </c>
      <c r="I137">
        <v>59.03</v>
      </c>
      <c r="J137">
        <v>7330.2640000000001</v>
      </c>
      <c r="K137">
        <v>-5.2</v>
      </c>
      <c r="L137">
        <v>-8.8089999999999993</v>
      </c>
      <c r="M137">
        <v>78.668000000000006</v>
      </c>
      <c r="N137">
        <v>79.903000000000006</v>
      </c>
      <c r="O137">
        <v>9768.92</v>
      </c>
      <c r="P137">
        <v>51.610999999999997</v>
      </c>
      <c r="Q137">
        <v>29.074999999999999</v>
      </c>
      <c r="R137">
        <v>0.247</v>
      </c>
      <c r="S137">
        <v>116.404</v>
      </c>
      <c r="T137">
        <v>1.22</v>
      </c>
      <c r="U137">
        <v>1.899</v>
      </c>
      <c r="V137">
        <v>63.01</v>
      </c>
      <c r="W137">
        <v>98.100999999999999</v>
      </c>
      <c r="X137">
        <v>34152.684000000001</v>
      </c>
      <c r="Y137">
        <v>44.49</v>
      </c>
      <c r="Z137" s="1">
        <v>302841000000</v>
      </c>
    </row>
    <row r="138" spans="1:26" hidden="1">
      <c r="A138" t="s">
        <v>41</v>
      </c>
      <c r="B138">
        <v>2016</v>
      </c>
      <c r="C138" t="s">
        <v>42</v>
      </c>
      <c r="D138" t="s">
        <v>28</v>
      </c>
      <c r="E138" t="s">
        <v>43</v>
      </c>
      <c r="F138">
        <v>8210006</v>
      </c>
      <c r="G138" s="1">
        <v>262584000000</v>
      </c>
      <c r="H138">
        <v>67.010000000000005</v>
      </c>
      <c r="I138">
        <v>61.46</v>
      </c>
      <c r="J138">
        <v>7485.9870000000001</v>
      </c>
      <c r="K138">
        <v>-5.55</v>
      </c>
      <c r="L138">
        <v>-9.0299999999999994</v>
      </c>
      <c r="M138">
        <v>88.358999999999995</v>
      </c>
      <c r="N138">
        <v>91.78</v>
      </c>
      <c r="O138">
        <v>10762.393</v>
      </c>
      <c r="P138">
        <v>60.915999999999997</v>
      </c>
      <c r="Q138">
        <v>32.744999999999997</v>
      </c>
      <c r="R138">
        <v>0.248</v>
      </c>
      <c r="S138">
        <v>119.49</v>
      </c>
      <c r="T138">
        <v>1.7</v>
      </c>
      <c r="U138">
        <v>2.5369999999999999</v>
      </c>
      <c r="V138">
        <v>65.31</v>
      </c>
      <c r="W138">
        <v>97.462999999999994</v>
      </c>
      <c r="X138">
        <v>34174.199000000001</v>
      </c>
      <c r="Y138">
        <v>44.37</v>
      </c>
      <c r="Z138" s="1">
        <v>321084000000</v>
      </c>
    </row>
    <row r="139" spans="1:26" hidden="1">
      <c r="A139" t="s">
        <v>41</v>
      </c>
      <c r="B139">
        <v>2017</v>
      </c>
      <c r="C139" t="s">
        <v>42</v>
      </c>
      <c r="D139" t="s">
        <v>28</v>
      </c>
      <c r="E139" t="s">
        <v>43</v>
      </c>
      <c r="F139">
        <v>8361796</v>
      </c>
      <c r="G139" s="1">
        <v>273812000000</v>
      </c>
      <c r="H139">
        <v>67.44</v>
      </c>
      <c r="I139">
        <v>61.79</v>
      </c>
      <c r="J139">
        <v>7389.5609999999997</v>
      </c>
      <c r="K139">
        <v>-5.65</v>
      </c>
      <c r="L139">
        <v>-9.1440000000000001</v>
      </c>
      <c r="M139">
        <v>93.394999999999996</v>
      </c>
      <c r="N139">
        <v>97.641999999999996</v>
      </c>
      <c r="O139">
        <v>11169.23</v>
      </c>
      <c r="P139">
        <v>63.463999999999999</v>
      </c>
      <c r="Q139">
        <v>34.212000000000003</v>
      </c>
      <c r="R139">
        <v>0.248</v>
      </c>
      <c r="S139">
        <v>124.574</v>
      </c>
      <c r="T139">
        <v>1.69</v>
      </c>
      <c r="U139">
        <v>2.5059999999999998</v>
      </c>
      <c r="V139">
        <v>65.75</v>
      </c>
      <c r="W139">
        <v>97.494</v>
      </c>
      <c r="X139">
        <v>34165.57</v>
      </c>
      <c r="Y139">
        <v>44.05</v>
      </c>
      <c r="Z139" s="1">
        <v>357361000000</v>
      </c>
    </row>
    <row r="140" spans="1:26" hidden="1">
      <c r="A140" t="s">
        <v>41</v>
      </c>
      <c r="B140">
        <v>2018</v>
      </c>
      <c r="C140" t="s">
        <v>42</v>
      </c>
      <c r="D140" t="s">
        <v>28</v>
      </c>
      <c r="E140" t="s">
        <v>43</v>
      </c>
      <c r="F140">
        <v>8510067</v>
      </c>
      <c r="G140" s="1">
        <v>284956000000</v>
      </c>
      <c r="H140">
        <v>69.02</v>
      </c>
      <c r="I140">
        <v>63.16</v>
      </c>
      <c r="J140">
        <v>7421.7979999999998</v>
      </c>
      <c r="K140">
        <v>-5.86</v>
      </c>
      <c r="L140">
        <v>-9.2780000000000005</v>
      </c>
      <c r="M140">
        <v>99.38</v>
      </c>
      <c r="N140">
        <v>105.746</v>
      </c>
      <c r="O140">
        <v>11677.987999999999</v>
      </c>
      <c r="P140">
        <v>66.704999999999998</v>
      </c>
      <c r="Q140">
        <v>36.225999999999999</v>
      </c>
      <c r="R140">
        <v>0.248</v>
      </c>
      <c r="S140">
        <v>125.858</v>
      </c>
      <c r="T140">
        <v>1.88</v>
      </c>
      <c r="U140">
        <v>2.7240000000000002</v>
      </c>
      <c r="V140">
        <v>67.14</v>
      </c>
      <c r="W140">
        <v>97.275999999999996</v>
      </c>
      <c r="X140">
        <v>34337.160000000003</v>
      </c>
      <c r="Y140">
        <v>44.42</v>
      </c>
      <c r="Z140" s="1">
        <v>375470000000</v>
      </c>
    </row>
    <row r="141" spans="1:26" hidden="1">
      <c r="A141" t="s">
        <v>41</v>
      </c>
      <c r="B141">
        <v>2019</v>
      </c>
      <c r="C141" t="s">
        <v>42</v>
      </c>
      <c r="D141" t="s">
        <v>28</v>
      </c>
      <c r="E141" t="s">
        <v>43</v>
      </c>
      <c r="F141">
        <v>8657466</v>
      </c>
      <c r="G141" s="1">
        <v>296799000000</v>
      </c>
      <c r="H141">
        <v>72.709999999999994</v>
      </c>
      <c r="I141">
        <v>66.400000000000006</v>
      </c>
      <c r="J141">
        <v>7669.6809999999996</v>
      </c>
      <c r="K141">
        <v>-6.31</v>
      </c>
      <c r="L141">
        <v>-9.5030000000000001</v>
      </c>
      <c r="M141">
        <v>99.617999999999995</v>
      </c>
      <c r="N141">
        <v>107.21899999999999</v>
      </c>
      <c r="O141">
        <v>11506.599</v>
      </c>
      <c r="P141">
        <v>63.402999999999999</v>
      </c>
      <c r="Q141">
        <v>35.622999999999998</v>
      </c>
      <c r="R141">
        <v>0.249</v>
      </c>
      <c r="S141">
        <v>127.13</v>
      </c>
      <c r="T141">
        <v>3.51</v>
      </c>
      <c r="U141">
        <v>4.827</v>
      </c>
      <c r="V141">
        <v>69.2</v>
      </c>
      <c r="W141">
        <v>95.173000000000002</v>
      </c>
      <c r="X141">
        <v>34826.125</v>
      </c>
      <c r="Y141">
        <v>46.1</v>
      </c>
      <c r="Z141" s="1">
        <v>399208000000</v>
      </c>
    </row>
    <row r="142" spans="1:26" hidden="1">
      <c r="A142" t="s">
        <v>41</v>
      </c>
      <c r="B142">
        <v>2020</v>
      </c>
      <c r="C142" t="s">
        <v>42</v>
      </c>
      <c r="D142" t="s">
        <v>28</v>
      </c>
      <c r="E142" t="s">
        <v>43</v>
      </c>
      <c r="F142">
        <v>8800380</v>
      </c>
      <c r="G142" s="1">
        <v>291288000000</v>
      </c>
      <c r="H142">
        <v>72.739999999999995</v>
      </c>
      <c r="I142">
        <v>66.5</v>
      </c>
      <c r="J142">
        <v>7556.4920000000002</v>
      </c>
      <c r="K142">
        <v>-6.24</v>
      </c>
      <c r="L142">
        <v>-9.3829999999999991</v>
      </c>
      <c r="M142">
        <v>146.69499999999999</v>
      </c>
      <c r="N142">
        <v>112.682</v>
      </c>
      <c r="O142">
        <v>16669.217000000001</v>
      </c>
      <c r="P142">
        <v>67.087999999999994</v>
      </c>
      <c r="Q142">
        <v>39.613</v>
      </c>
      <c r="R142">
        <v>0.249</v>
      </c>
      <c r="S142">
        <v>109.861</v>
      </c>
      <c r="T142">
        <v>4.4400000000000004</v>
      </c>
      <c r="U142">
        <v>6.1040000000000001</v>
      </c>
      <c r="V142">
        <v>68.3</v>
      </c>
      <c r="W142">
        <v>93.896000000000001</v>
      </c>
      <c r="X142">
        <v>32400.351999999999</v>
      </c>
      <c r="Y142">
        <v>44.75</v>
      </c>
      <c r="Z142" s="1">
        <v>410909000000</v>
      </c>
    </row>
    <row r="143" spans="1:26" hidden="1">
      <c r="A143" t="s">
        <v>41</v>
      </c>
      <c r="B143">
        <v>2021</v>
      </c>
      <c r="C143" t="s">
        <v>42</v>
      </c>
      <c r="D143" t="s">
        <v>28</v>
      </c>
      <c r="E143" t="s">
        <v>43</v>
      </c>
      <c r="F143">
        <v>8942925</v>
      </c>
      <c r="G143" s="1">
        <v>316373000000</v>
      </c>
      <c r="H143">
        <v>74.12</v>
      </c>
      <c r="I143">
        <v>67.599999999999994</v>
      </c>
      <c r="J143">
        <v>7559.0479999999998</v>
      </c>
      <c r="K143">
        <v>-6.52</v>
      </c>
      <c r="L143">
        <v>-9.6449999999999996</v>
      </c>
      <c r="M143">
        <v>183.274</v>
      </c>
      <c r="N143">
        <v>117.337</v>
      </c>
      <c r="O143">
        <v>20493.775000000001</v>
      </c>
      <c r="P143">
        <v>68.807000000000002</v>
      </c>
      <c r="Q143">
        <v>40.293999999999997</v>
      </c>
      <c r="R143">
        <v>0.249</v>
      </c>
      <c r="S143">
        <v>114.398</v>
      </c>
      <c r="T143">
        <v>5.82</v>
      </c>
      <c r="U143">
        <v>7.8520000000000003</v>
      </c>
      <c r="V143">
        <v>68.3</v>
      </c>
      <c r="W143">
        <v>92.147999999999996</v>
      </c>
      <c r="X143">
        <v>32656.467000000001</v>
      </c>
      <c r="Y143">
        <v>44.2</v>
      </c>
      <c r="Z143" s="1">
        <v>489735000000</v>
      </c>
    </row>
    <row r="144" spans="1:26" hidden="1">
      <c r="A144" t="s">
        <v>41</v>
      </c>
      <c r="B144">
        <v>2022</v>
      </c>
      <c r="C144" t="s">
        <v>42</v>
      </c>
      <c r="D144" t="s">
        <v>28</v>
      </c>
      <c r="E144" t="s">
        <v>43</v>
      </c>
      <c r="F144">
        <v>9103143</v>
      </c>
      <c r="G144" s="1">
        <v>336723000000</v>
      </c>
      <c r="H144">
        <v>76.87</v>
      </c>
      <c r="I144">
        <v>69.95</v>
      </c>
      <c r="J144">
        <v>7684.1589999999997</v>
      </c>
      <c r="K144">
        <v>-6.92</v>
      </c>
      <c r="L144">
        <v>-9.8930000000000007</v>
      </c>
      <c r="M144">
        <v>208.452</v>
      </c>
      <c r="N144">
        <v>121.423</v>
      </c>
      <c r="O144">
        <v>22898.898000000001</v>
      </c>
      <c r="P144">
        <v>68.037000000000006</v>
      </c>
      <c r="Q144">
        <v>39.566000000000003</v>
      </c>
      <c r="R144">
        <v>0.249</v>
      </c>
      <c r="S144">
        <v>124.502</v>
      </c>
      <c r="T144">
        <v>7.47</v>
      </c>
      <c r="U144">
        <v>9.718</v>
      </c>
      <c r="V144">
        <v>69.400000000000006</v>
      </c>
      <c r="W144">
        <v>90.281999999999996</v>
      </c>
      <c r="X144">
        <v>33816.671999999999</v>
      </c>
      <c r="Y144">
        <v>44.84</v>
      </c>
      <c r="Z144" s="1">
        <v>525158000000</v>
      </c>
    </row>
    <row r="145" spans="1:26" hidden="1">
      <c r="A145" t="s">
        <v>41</v>
      </c>
      <c r="B145">
        <v>2023</v>
      </c>
      <c r="C145" t="s">
        <v>42</v>
      </c>
      <c r="D145" t="s">
        <v>28</v>
      </c>
      <c r="E145" t="s">
        <v>43</v>
      </c>
      <c r="F145">
        <v>9256311</v>
      </c>
      <c r="G145" s="1">
        <v>341591000000</v>
      </c>
      <c r="H145">
        <v>77.430000000000007</v>
      </c>
      <c r="I145">
        <v>70.5</v>
      </c>
      <c r="J145">
        <v>7616.4250000000002</v>
      </c>
      <c r="K145">
        <v>-6.93</v>
      </c>
      <c r="L145">
        <v>-9.83</v>
      </c>
      <c r="M145">
        <v>198.03800000000001</v>
      </c>
      <c r="N145">
        <v>105.032</v>
      </c>
      <c r="O145">
        <v>21394.888999999999</v>
      </c>
      <c r="P145">
        <v>70.644000000000005</v>
      </c>
      <c r="Q145">
        <v>37.112000000000002</v>
      </c>
      <c r="R145">
        <v>0.249</v>
      </c>
      <c r="S145">
        <v>120.645</v>
      </c>
      <c r="T145">
        <v>9.1300000000000008</v>
      </c>
      <c r="U145">
        <v>11.791</v>
      </c>
      <c r="V145">
        <v>68.3</v>
      </c>
      <c r="W145">
        <v>88.209000000000003</v>
      </c>
      <c r="X145">
        <v>30723.857</v>
      </c>
      <c r="Y145">
        <v>43.27</v>
      </c>
      <c r="Z145" s="1">
        <v>513393000000</v>
      </c>
    </row>
    <row r="146" spans="1:26" hidden="1">
      <c r="A146" t="s">
        <v>44</v>
      </c>
      <c r="B146">
        <v>2000</v>
      </c>
      <c r="C146" t="s">
        <v>45</v>
      </c>
      <c r="D146" t="s">
        <v>28</v>
      </c>
      <c r="E146" t="s">
        <v>29</v>
      </c>
      <c r="F146">
        <v>5386945</v>
      </c>
      <c r="G146">
        <v>35825242090</v>
      </c>
      <c r="H146">
        <v>7.37</v>
      </c>
      <c r="I146">
        <v>7.79</v>
      </c>
      <c r="J146">
        <v>1446.0889999999999</v>
      </c>
      <c r="K146">
        <v>0.42</v>
      </c>
      <c r="L146">
        <v>5.3920000000000003</v>
      </c>
      <c r="M146">
        <v>3.145</v>
      </c>
      <c r="N146">
        <v>0.871</v>
      </c>
      <c r="O146">
        <v>583.87400000000002</v>
      </c>
      <c r="P146">
        <v>10.041</v>
      </c>
      <c r="Q146">
        <v>6.2249999999999996</v>
      </c>
      <c r="R146">
        <v>2.5999999999999999E-2</v>
      </c>
      <c r="S146">
        <v>29.591000000000001</v>
      </c>
      <c r="T146">
        <v>0.04</v>
      </c>
      <c r="U146">
        <v>0.54300000000000004</v>
      </c>
      <c r="V146">
        <v>7.33</v>
      </c>
      <c r="W146">
        <v>99.456999999999994</v>
      </c>
      <c r="X146">
        <v>12299.419</v>
      </c>
      <c r="Y146">
        <v>4.8499999999999996</v>
      </c>
      <c r="Z146">
        <v>8460789845</v>
      </c>
    </row>
    <row r="147" spans="1:26" hidden="1">
      <c r="A147" t="s">
        <v>44</v>
      </c>
      <c r="B147">
        <v>2001</v>
      </c>
      <c r="C147" t="s">
        <v>45</v>
      </c>
      <c r="D147" t="s">
        <v>28</v>
      </c>
      <c r="E147" t="s">
        <v>29</v>
      </c>
      <c r="F147">
        <v>5498900</v>
      </c>
      <c r="G147">
        <v>38405924481</v>
      </c>
      <c r="H147">
        <v>7.54</v>
      </c>
      <c r="I147">
        <v>7.8</v>
      </c>
      <c r="J147">
        <v>1418.4659999999999</v>
      </c>
      <c r="K147">
        <v>0.26</v>
      </c>
      <c r="L147">
        <v>3.3330000000000002</v>
      </c>
      <c r="M147">
        <v>3.145</v>
      </c>
      <c r="N147">
        <v>0.90600000000000003</v>
      </c>
      <c r="O147">
        <v>571.98699999999997</v>
      </c>
      <c r="P147">
        <v>10.212</v>
      </c>
      <c r="Q147">
        <v>6.3310000000000004</v>
      </c>
      <c r="R147">
        <v>2.5999999999999999E-2</v>
      </c>
      <c r="S147">
        <v>30.206</v>
      </c>
      <c r="T147">
        <v>0.04</v>
      </c>
      <c r="U147">
        <v>0.53100000000000003</v>
      </c>
      <c r="V147">
        <v>7.5</v>
      </c>
      <c r="W147">
        <v>99.468999999999994</v>
      </c>
      <c r="X147">
        <v>11567.228999999999</v>
      </c>
      <c r="Y147">
        <v>4.96</v>
      </c>
      <c r="Z147">
        <v>8975814653</v>
      </c>
    </row>
    <row r="148" spans="1:26" hidden="1">
      <c r="A148" t="s">
        <v>44</v>
      </c>
      <c r="B148">
        <v>2002</v>
      </c>
      <c r="C148" t="s">
        <v>45</v>
      </c>
      <c r="D148" t="s">
        <v>28</v>
      </c>
      <c r="E148" t="s">
        <v>29</v>
      </c>
      <c r="F148">
        <v>5616077</v>
      </c>
      <c r="G148">
        <v>41327374100</v>
      </c>
      <c r="H148">
        <v>8.1199999999999992</v>
      </c>
      <c r="I148">
        <v>8.44</v>
      </c>
      <c r="J148">
        <v>1502.828</v>
      </c>
      <c r="K148">
        <v>0.32</v>
      </c>
      <c r="L148">
        <v>3.7909999999999999</v>
      </c>
      <c r="M148">
        <v>3.3620000000000001</v>
      </c>
      <c r="N148">
        <v>0.8</v>
      </c>
      <c r="O148">
        <v>598.67700000000002</v>
      </c>
      <c r="P148">
        <v>8.3740000000000006</v>
      </c>
      <c r="Q148">
        <v>5.1920000000000002</v>
      </c>
      <c r="R148">
        <v>1.2999999999999999E-2</v>
      </c>
      <c r="S148">
        <v>30.849</v>
      </c>
      <c r="T148">
        <v>0.05</v>
      </c>
      <c r="U148">
        <v>0.61599999999999999</v>
      </c>
      <c r="V148">
        <v>8.07</v>
      </c>
      <c r="W148">
        <v>99.384</v>
      </c>
      <c r="X148">
        <v>11879.504000000001</v>
      </c>
      <c r="Y148">
        <v>5.33</v>
      </c>
      <c r="Z148">
        <v>9582510578</v>
      </c>
    </row>
    <row r="149" spans="1:26" hidden="1">
      <c r="A149" t="s">
        <v>44</v>
      </c>
      <c r="B149">
        <v>2003</v>
      </c>
      <c r="C149" t="s">
        <v>45</v>
      </c>
      <c r="D149" t="s">
        <v>28</v>
      </c>
      <c r="E149" t="s">
        <v>29</v>
      </c>
      <c r="F149">
        <v>5741837</v>
      </c>
      <c r="G149">
        <v>43669159351</v>
      </c>
      <c r="H149">
        <v>8.0299999999999994</v>
      </c>
      <c r="I149">
        <v>9</v>
      </c>
      <c r="J149">
        <v>1567.443</v>
      </c>
      <c r="K149">
        <v>0.97</v>
      </c>
      <c r="L149">
        <v>10.778</v>
      </c>
      <c r="M149">
        <v>3.3620000000000001</v>
      </c>
      <c r="N149">
        <v>0.88200000000000001</v>
      </c>
      <c r="O149">
        <v>585.56399999999996</v>
      </c>
      <c r="P149">
        <v>9.34</v>
      </c>
      <c r="Q149">
        <v>5.7910000000000004</v>
      </c>
      <c r="R149">
        <v>1.2999999999999999E-2</v>
      </c>
      <c r="S149">
        <v>31.54</v>
      </c>
      <c r="T149">
        <v>0.05</v>
      </c>
      <c r="U149">
        <v>0.623</v>
      </c>
      <c r="V149">
        <v>7.98</v>
      </c>
      <c r="W149">
        <v>99.376999999999995</v>
      </c>
      <c r="X149">
        <v>12693.692999999999</v>
      </c>
      <c r="Y149">
        <v>5.28</v>
      </c>
      <c r="Z149">
        <v>10195627645</v>
      </c>
    </row>
    <row r="150" spans="1:26" hidden="1">
      <c r="A150" t="s">
        <v>44</v>
      </c>
      <c r="B150">
        <v>2004</v>
      </c>
      <c r="C150" t="s">
        <v>45</v>
      </c>
      <c r="D150" t="s">
        <v>28</v>
      </c>
      <c r="E150" t="s">
        <v>29</v>
      </c>
      <c r="F150">
        <v>5882066</v>
      </c>
      <c r="G150">
        <v>47936969925</v>
      </c>
      <c r="H150">
        <v>8.9600000000000009</v>
      </c>
      <c r="I150">
        <v>9.75</v>
      </c>
      <c r="J150">
        <v>1657.5809999999999</v>
      </c>
      <c r="K150">
        <v>0.79</v>
      </c>
      <c r="L150">
        <v>8.1029999999999998</v>
      </c>
      <c r="M150">
        <v>3.3620000000000001</v>
      </c>
      <c r="N150">
        <v>5.282</v>
      </c>
      <c r="O150">
        <v>571.60400000000004</v>
      </c>
      <c r="P150">
        <v>50.112000000000002</v>
      </c>
      <c r="Q150">
        <v>31.068999999999999</v>
      </c>
      <c r="R150">
        <v>1.2999999999999999E-2</v>
      </c>
      <c r="S150">
        <v>32.31</v>
      </c>
      <c r="T150">
        <v>0.06</v>
      </c>
      <c r="U150">
        <v>0.67</v>
      </c>
      <c r="V150">
        <v>8.9</v>
      </c>
      <c r="W150">
        <v>99.33</v>
      </c>
      <c r="X150">
        <v>13459.61</v>
      </c>
      <c r="Y150">
        <v>6.01</v>
      </c>
      <c r="Z150">
        <v>11411706629</v>
      </c>
    </row>
    <row r="151" spans="1:26" hidden="1">
      <c r="A151" t="s">
        <v>44</v>
      </c>
      <c r="B151">
        <v>2005</v>
      </c>
      <c r="C151" t="s">
        <v>45</v>
      </c>
      <c r="D151" t="s">
        <v>28</v>
      </c>
      <c r="E151" t="s">
        <v>29</v>
      </c>
      <c r="F151">
        <v>6029597</v>
      </c>
      <c r="G151">
        <v>52217618202</v>
      </c>
      <c r="H151">
        <v>9.65</v>
      </c>
      <c r="I151">
        <v>10.39</v>
      </c>
      <c r="J151">
        <v>1723.1669999999999</v>
      </c>
      <c r="K151">
        <v>0.74</v>
      </c>
      <c r="L151">
        <v>7.1219999999999999</v>
      </c>
      <c r="M151">
        <v>3.0369999999999999</v>
      </c>
      <c r="N151">
        <v>6.2350000000000003</v>
      </c>
      <c r="O151">
        <v>503.65499999999997</v>
      </c>
      <c r="P151">
        <v>54.921999999999997</v>
      </c>
      <c r="Q151">
        <v>34.052</v>
      </c>
      <c r="R151">
        <v>1.2999999999999999E-2</v>
      </c>
      <c r="S151">
        <v>33.121000000000002</v>
      </c>
      <c r="T151">
        <v>0.06</v>
      </c>
      <c r="U151">
        <v>0.622</v>
      </c>
      <c r="V151">
        <v>9.59</v>
      </c>
      <c r="W151">
        <v>99.378</v>
      </c>
      <c r="X151">
        <v>14255.92</v>
      </c>
      <c r="Y151">
        <v>6.49</v>
      </c>
      <c r="Z151">
        <v>12588998590</v>
      </c>
    </row>
    <row r="152" spans="1:26" hidden="1">
      <c r="A152" t="s">
        <v>44</v>
      </c>
      <c r="B152">
        <v>2006</v>
      </c>
      <c r="C152" t="s">
        <v>45</v>
      </c>
      <c r="D152" t="s">
        <v>28</v>
      </c>
      <c r="E152" t="s">
        <v>29</v>
      </c>
      <c r="F152">
        <v>6427377</v>
      </c>
      <c r="G152">
        <v>59977821392</v>
      </c>
      <c r="H152">
        <v>11.12</v>
      </c>
      <c r="I152">
        <v>11.58</v>
      </c>
      <c r="J152">
        <v>1801.6679999999999</v>
      </c>
      <c r="K152">
        <v>0.46</v>
      </c>
      <c r="L152">
        <v>3.972</v>
      </c>
      <c r="M152">
        <v>3.4710000000000001</v>
      </c>
      <c r="N152">
        <v>9.1880000000000006</v>
      </c>
      <c r="O152">
        <v>539.98299999999995</v>
      </c>
      <c r="P152">
        <v>70.233999999999995</v>
      </c>
      <c r="Q152">
        <v>43.545000000000002</v>
      </c>
      <c r="R152">
        <v>1.2999999999999999E-2</v>
      </c>
      <c r="S152">
        <v>35.305999999999997</v>
      </c>
      <c r="T152">
        <v>0.06</v>
      </c>
      <c r="U152">
        <v>0.54</v>
      </c>
      <c r="V152">
        <v>11.06</v>
      </c>
      <c r="W152">
        <v>99.46</v>
      </c>
      <c r="X152">
        <v>13830.34</v>
      </c>
      <c r="Y152">
        <v>7.55</v>
      </c>
      <c r="Z152">
        <v>15056981664</v>
      </c>
    </row>
    <row r="153" spans="1:26" hidden="1">
      <c r="A153" t="s">
        <v>44</v>
      </c>
      <c r="B153">
        <v>2007</v>
      </c>
      <c r="C153" t="s">
        <v>45</v>
      </c>
      <c r="D153" t="s">
        <v>28</v>
      </c>
      <c r="E153" t="s">
        <v>29</v>
      </c>
      <c r="F153">
        <v>6827235</v>
      </c>
      <c r="G153">
        <v>68285595085</v>
      </c>
      <c r="H153">
        <v>12.83</v>
      </c>
      <c r="I153">
        <v>12.86</v>
      </c>
      <c r="J153">
        <v>1883.6320000000001</v>
      </c>
      <c r="K153">
        <v>0.03</v>
      </c>
      <c r="L153">
        <v>0.23300000000000001</v>
      </c>
      <c r="M153">
        <v>2.17</v>
      </c>
      <c r="N153">
        <v>12.446999999999999</v>
      </c>
      <c r="O153">
        <v>317.875</v>
      </c>
      <c r="P153">
        <v>82.462999999999994</v>
      </c>
      <c r="Q153">
        <v>51.127000000000002</v>
      </c>
      <c r="R153">
        <v>1.2999999999999999E-2</v>
      </c>
      <c r="S153">
        <v>37.502000000000002</v>
      </c>
      <c r="T153">
        <v>7.0000000000000007E-2</v>
      </c>
      <c r="U153">
        <v>0.54600000000000004</v>
      </c>
      <c r="V153">
        <v>12.76</v>
      </c>
      <c r="W153">
        <v>99.453999999999994</v>
      </c>
      <c r="X153">
        <v>12519.004000000001</v>
      </c>
      <c r="Y153">
        <v>8.76</v>
      </c>
      <c r="Z153">
        <v>17110437236</v>
      </c>
    </row>
    <row r="154" spans="1:26" hidden="1">
      <c r="A154" t="s">
        <v>44</v>
      </c>
      <c r="B154">
        <v>2008</v>
      </c>
      <c r="C154" t="s">
        <v>45</v>
      </c>
      <c r="D154" t="s">
        <v>28</v>
      </c>
      <c r="E154" t="s">
        <v>29</v>
      </c>
      <c r="F154">
        <v>6989874</v>
      </c>
      <c r="G154">
        <v>72788636146</v>
      </c>
      <c r="H154">
        <v>14.15</v>
      </c>
      <c r="I154">
        <v>14.37</v>
      </c>
      <c r="J154">
        <v>2055.8310000000001</v>
      </c>
      <c r="K154">
        <v>0.22</v>
      </c>
      <c r="L154">
        <v>1.5309999999999999</v>
      </c>
      <c r="M154">
        <v>1.823</v>
      </c>
      <c r="N154">
        <v>13.952999999999999</v>
      </c>
      <c r="O154">
        <v>260.80200000000002</v>
      </c>
      <c r="P154">
        <v>83.816000000000003</v>
      </c>
      <c r="Q154">
        <v>51.966000000000001</v>
      </c>
      <c r="R154">
        <v>1.2999999999999999E-2</v>
      </c>
      <c r="S154">
        <v>38.396000000000001</v>
      </c>
      <c r="T154">
        <v>7.0000000000000007E-2</v>
      </c>
      <c r="U154">
        <v>0.495</v>
      </c>
      <c r="V154">
        <v>14.08</v>
      </c>
      <c r="W154">
        <v>99.504999999999995</v>
      </c>
      <c r="X154">
        <v>11778.231</v>
      </c>
      <c r="Y154">
        <v>9.68</v>
      </c>
      <c r="Z154">
        <v>25651620831</v>
      </c>
    </row>
    <row r="155" spans="1:26" hidden="1">
      <c r="A155" t="s">
        <v>44</v>
      </c>
      <c r="B155">
        <v>2009</v>
      </c>
      <c r="C155" t="s">
        <v>45</v>
      </c>
      <c r="D155" t="s">
        <v>28</v>
      </c>
      <c r="E155" t="s">
        <v>29</v>
      </c>
      <c r="F155">
        <v>7141763</v>
      </c>
      <c r="G155">
        <v>76172493182</v>
      </c>
      <c r="H155">
        <v>14.28</v>
      </c>
      <c r="I155">
        <v>14.52</v>
      </c>
      <c r="J155">
        <v>2033.1110000000001</v>
      </c>
      <c r="K155">
        <v>0.24</v>
      </c>
      <c r="L155">
        <v>1.653</v>
      </c>
      <c r="M155">
        <v>1.91</v>
      </c>
      <c r="N155">
        <v>15.282</v>
      </c>
      <c r="O155">
        <v>267.41000000000003</v>
      </c>
      <c r="P155">
        <v>90.965999999999994</v>
      </c>
      <c r="Q155">
        <v>56.399000000000001</v>
      </c>
      <c r="R155">
        <v>1.2999999999999999E-2</v>
      </c>
      <c r="S155">
        <v>39.229999999999997</v>
      </c>
      <c r="T155">
        <v>7.0000000000000007E-2</v>
      </c>
      <c r="U155">
        <v>0.49</v>
      </c>
      <c r="V155">
        <v>14.21</v>
      </c>
      <c r="W155">
        <v>99.51</v>
      </c>
      <c r="X155">
        <v>11990.046</v>
      </c>
      <c r="Y155">
        <v>9.8000000000000007</v>
      </c>
      <c r="Z155">
        <v>27462496197</v>
      </c>
    </row>
    <row r="156" spans="1:26" hidden="1">
      <c r="A156" t="s">
        <v>44</v>
      </c>
      <c r="B156">
        <v>2010</v>
      </c>
      <c r="C156" t="s">
        <v>45</v>
      </c>
      <c r="D156" t="s">
        <v>28</v>
      </c>
      <c r="E156" t="s">
        <v>29</v>
      </c>
      <c r="F156">
        <v>7297046</v>
      </c>
      <c r="G156">
        <v>77493873619</v>
      </c>
      <c r="H156">
        <v>14.78</v>
      </c>
      <c r="I156">
        <v>15.39</v>
      </c>
      <c r="J156">
        <v>2109.0729999999999</v>
      </c>
      <c r="K156">
        <v>0.61</v>
      </c>
      <c r="L156">
        <v>3.964</v>
      </c>
      <c r="M156">
        <v>1.91</v>
      </c>
      <c r="N156">
        <v>12.375999999999999</v>
      </c>
      <c r="O156">
        <v>261.72000000000003</v>
      </c>
      <c r="P156">
        <v>71.177000000000007</v>
      </c>
      <c r="Q156">
        <v>44.13</v>
      </c>
      <c r="R156">
        <v>1.2999999999999999E-2</v>
      </c>
      <c r="S156">
        <v>40.082999999999998</v>
      </c>
      <c r="T156">
        <v>7.0000000000000007E-2</v>
      </c>
      <c r="U156">
        <v>0.47399999999999998</v>
      </c>
      <c r="V156">
        <v>14.71</v>
      </c>
      <c r="W156">
        <v>99.525999999999996</v>
      </c>
      <c r="X156">
        <v>12214.337</v>
      </c>
      <c r="Y156">
        <v>10.050000000000001</v>
      </c>
      <c r="Z156">
        <v>30202773521</v>
      </c>
    </row>
    <row r="157" spans="1:26" hidden="1">
      <c r="A157" t="s">
        <v>44</v>
      </c>
      <c r="B157">
        <v>2011</v>
      </c>
      <c r="C157" t="s">
        <v>45</v>
      </c>
      <c r="D157" t="s">
        <v>28</v>
      </c>
      <c r="E157" t="s">
        <v>29</v>
      </c>
      <c r="F157">
        <v>7480431</v>
      </c>
      <c r="G157">
        <v>79441955134</v>
      </c>
      <c r="H157">
        <v>14.64</v>
      </c>
      <c r="I157">
        <v>16.29</v>
      </c>
      <c r="J157">
        <v>2177.6819999999998</v>
      </c>
      <c r="K157">
        <v>1.65</v>
      </c>
      <c r="L157">
        <v>10.129</v>
      </c>
      <c r="M157">
        <v>1.7270000000000001</v>
      </c>
      <c r="N157">
        <v>4.6589999999999998</v>
      </c>
      <c r="O157">
        <v>230.934</v>
      </c>
      <c r="P157">
        <v>27.048999999999999</v>
      </c>
      <c r="Q157">
        <v>16.77</v>
      </c>
      <c r="R157">
        <v>1.0999999999999999E-2</v>
      </c>
      <c r="S157">
        <v>41.09</v>
      </c>
      <c r="T157">
        <v>0.06</v>
      </c>
      <c r="U157">
        <v>0.41</v>
      </c>
      <c r="V157">
        <v>14.58</v>
      </c>
      <c r="W157">
        <v>99.59</v>
      </c>
      <c r="X157">
        <v>12479.021000000001</v>
      </c>
      <c r="Y157">
        <v>9.73</v>
      </c>
      <c r="Z157">
        <v>32640291549</v>
      </c>
    </row>
    <row r="158" spans="1:26" hidden="1">
      <c r="A158" t="s">
        <v>44</v>
      </c>
      <c r="B158">
        <v>2012</v>
      </c>
      <c r="C158" t="s">
        <v>45</v>
      </c>
      <c r="D158" t="s">
        <v>28</v>
      </c>
      <c r="E158" t="s">
        <v>29</v>
      </c>
      <c r="F158">
        <v>7587133</v>
      </c>
      <c r="G158">
        <v>81371594307</v>
      </c>
      <c r="H158">
        <v>16.59</v>
      </c>
      <c r="I158">
        <v>17.27</v>
      </c>
      <c r="J158">
        <v>2276.2220000000002</v>
      </c>
      <c r="K158">
        <v>0.68</v>
      </c>
      <c r="L158">
        <v>3.9369999999999998</v>
      </c>
      <c r="M158">
        <v>1.5629999999999999</v>
      </c>
      <c r="N158">
        <v>3.6230000000000002</v>
      </c>
      <c r="O158">
        <v>205.947</v>
      </c>
      <c r="P158">
        <v>18.565000000000001</v>
      </c>
      <c r="Q158">
        <v>11.51</v>
      </c>
      <c r="R158">
        <v>1.4E-2</v>
      </c>
      <c r="S158">
        <v>41.676000000000002</v>
      </c>
      <c r="T158">
        <v>7.0000000000000007E-2</v>
      </c>
      <c r="U158">
        <v>0.42199999999999999</v>
      </c>
      <c r="V158">
        <v>16.52</v>
      </c>
      <c r="W158">
        <v>99.578000000000003</v>
      </c>
      <c r="X158">
        <v>13055.924999999999</v>
      </c>
      <c r="Y158">
        <v>10.97</v>
      </c>
      <c r="Z158">
        <v>34854017887</v>
      </c>
    </row>
    <row r="159" spans="1:26" hidden="1">
      <c r="A159" t="s">
        <v>44</v>
      </c>
      <c r="B159">
        <v>2013</v>
      </c>
      <c r="C159" t="s">
        <v>45</v>
      </c>
      <c r="D159" t="s">
        <v>28</v>
      </c>
      <c r="E159" t="s">
        <v>29</v>
      </c>
      <c r="F159">
        <v>7991812</v>
      </c>
      <c r="G159">
        <v>83495396478</v>
      </c>
      <c r="H159">
        <v>17.260000000000002</v>
      </c>
      <c r="I159">
        <v>17.579999999999998</v>
      </c>
      <c r="J159">
        <v>2199.7510000000002</v>
      </c>
      <c r="K159">
        <v>0.32</v>
      </c>
      <c r="L159">
        <v>1.82</v>
      </c>
      <c r="M159">
        <v>1.4410000000000001</v>
      </c>
      <c r="N159">
        <v>5.1059999999999999</v>
      </c>
      <c r="O159">
        <v>180.31200000000001</v>
      </c>
      <c r="P159">
        <v>25.145</v>
      </c>
      <c r="Q159">
        <v>15.59</v>
      </c>
      <c r="R159">
        <v>1.4E-2</v>
      </c>
      <c r="S159">
        <v>43.899000000000001</v>
      </c>
      <c r="T159">
        <v>0.06</v>
      </c>
      <c r="U159">
        <v>0.34799999999999998</v>
      </c>
      <c r="V159">
        <v>17.2</v>
      </c>
      <c r="W159">
        <v>99.652000000000001</v>
      </c>
      <c r="X159">
        <v>12308.972</v>
      </c>
      <c r="Y159">
        <v>11.47</v>
      </c>
      <c r="Z159">
        <v>37873362958</v>
      </c>
    </row>
    <row r="160" spans="1:26" hidden="1">
      <c r="A160" t="s">
        <v>44</v>
      </c>
      <c r="B160">
        <v>2014</v>
      </c>
      <c r="C160" t="s">
        <v>45</v>
      </c>
      <c r="D160" t="s">
        <v>28</v>
      </c>
      <c r="E160" t="s">
        <v>29</v>
      </c>
      <c r="F160">
        <v>8791715</v>
      </c>
      <c r="G160">
        <v>86320876820</v>
      </c>
      <c r="H160">
        <v>18.27</v>
      </c>
      <c r="I160">
        <v>18.64</v>
      </c>
      <c r="J160">
        <v>2120.1779999999999</v>
      </c>
      <c r="K160">
        <v>0.37</v>
      </c>
      <c r="L160">
        <v>1.9850000000000001</v>
      </c>
      <c r="M160">
        <v>1.2589999999999999</v>
      </c>
      <c r="N160">
        <v>1.5289999999999999</v>
      </c>
      <c r="O160">
        <v>143.17099999999999</v>
      </c>
      <c r="P160">
        <v>7.1150000000000002</v>
      </c>
      <c r="Q160">
        <v>4.4109999999999996</v>
      </c>
      <c r="R160">
        <v>1.4E-2</v>
      </c>
      <c r="S160">
        <v>48.292999999999999</v>
      </c>
      <c r="T160">
        <v>7.0000000000000007E-2</v>
      </c>
      <c r="U160">
        <v>0.38300000000000001</v>
      </c>
      <c r="V160">
        <v>18.2</v>
      </c>
      <c r="W160">
        <v>99.617000000000004</v>
      </c>
      <c r="X160">
        <v>11480.571</v>
      </c>
      <c r="Y160">
        <v>12.02</v>
      </c>
      <c r="Z160">
        <v>40535098592</v>
      </c>
    </row>
    <row r="161" spans="1:26" hidden="1">
      <c r="A161" t="s">
        <v>44</v>
      </c>
      <c r="B161">
        <v>2015</v>
      </c>
      <c r="C161" t="s">
        <v>45</v>
      </c>
      <c r="D161" t="s">
        <v>28</v>
      </c>
      <c r="E161" t="s">
        <v>29</v>
      </c>
      <c r="F161">
        <v>9544730</v>
      </c>
      <c r="G161">
        <v>88475445240</v>
      </c>
      <c r="H161">
        <v>19.059999999999999</v>
      </c>
      <c r="I161">
        <v>19.61</v>
      </c>
      <c r="J161">
        <v>2054.5369999999998</v>
      </c>
      <c r="K161">
        <v>0.55000000000000004</v>
      </c>
      <c r="L161">
        <v>2.8050000000000002</v>
      </c>
      <c r="M161">
        <v>1.3109999999999999</v>
      </c>
      <c r="N161">
        <v>10.835000000000001</v>
      </c>
      <c r="O161">
        <v>137.333</v>
      </c>
      <c r="P161">
        <v>48.320999999999998</v>
      </c>
      <c r="Q161">
        <v>29.959</v>
      </c>
      <c r="R161">
        <v>1.4E-2</v>
      </c>
      <c r="S161">
        <v>52.429000000000002</v>
      </c>
      <c r="T161">
        <v>0.23</v>
      </c>
      <c r="U161">
        <v>1.2070000000000001</v>
      </c>
      <c r="V161">
        <v>18.829999999999998</v>
      </c>
      <c r="W161">
        <v>98.793000000000006</v>
      </c>
      <c r="X161">
        <v>11395.704</v>
      </c>
      <c r="Y161">
        <v>12.71</v>
      </c>
      <c r="Z161">
        <v>42394049296</v>
      </c>
    </row>
    <row r="162" spans="1:26" hidden="1">
      <c r="A162" t="s">
        <v>44</v>
      </c>
      <c r="B162">
        <v>2016</v>
      </c>
      <c r="C162" t="s">
        <v>45</v>
      </c>
      <c r="D162" t="s">
        <v>28</v>
      </c>
      <c r="E162" t="s">
        <v>29</v>
      </c>
      <c r="F162">
        <v>10006369</v>
      </c>
      <c r="G162">
        <v>90239641982</v>
      </c>
      <c r="H162">
        <v>19.670000000000002</v>
      </c>
      <c r="I162">
        <v>19.96</v>
      </c>
      <c r="J162">
        <v>1994.729</v>
      </c>
      <c r="K162">
        <v>0.28999999999999998</v>
      </c>
      <c r="L162">
        <v>1.4530000000000001</v>
      </c>
      <c r="M162">
        <v>1.111</v>
      </c>
      <c r="N162">
        <v>19.577000000000002</v>
      </c>
      <c r="O162">
        <v>111.044</v>
      </c>
      <c r="P162">
        <v>84.596000000000004</v>
      </c>
      <c r="Q162">
        <v>52.45</v>
      </c>
      <c r="R162">
        <v>1.4E-2</v>
      </c>
      <c r="S162">
        <v>54.965000000000003</v>
      </c>
      <c r="T162">
        <v>0.86</v>
      </c>
      <c r="U162">
        <v>4.3719999999999999</v>
      </c>
      <c r="V162">
        <v>18.809999999999999</v>
      </c>
      <c r="W162">
        <v>95.628</v>
      </c>
      <c r="X162">
        <v>11480.458000000001</v>
      </c>
      <c r="Y162">
        <v>12.98</v>
      </c>
      <c r="Z162">
        <v>43688498732</v>
      </c>
    </row>
    <row r="163" spans="1:26" hidden="1">
      <c r="A163" t="s">
        <v>44</v>
      </c>
      <c r="B163">
        <v>2017</v>
      </c>
      <c r="C163" t="s">
        <v>45</v>
      </c>
      <c r="D163" t="s">
        <v>28</v>
      </c>
      <c r="E163" t="s">
        <v>29</v>
      </c>
      <c r="F163">
        <v>10234227</v>
      </c>
      <c r="G163">
        <v>92472176531</v>
      </c>
      <c r="H163">
        <v>20.78</v>
      </c>
      <c r="I163">
        <v>20.77</v>
      </c>
      <c r="J163">
        <v>2029.4639999999999</v>
      </c>
      <c r="K163">
        <v>-0.01</v>
      </c>
      <c r="L163">
        <v>-4.8000000000000001E-2</v>
      </c>
      <c r="M163">
        <v>1.0169999999999999</v>
      </c>
      <c r="N163">
        <v>19.481999999999999</v>
      </c>
      <c r="O163">
        <v>99.372</v>
      </c>
      <c r="P163">
        <v>79.691999999999993</v>
      </c>
      <c r="Q163">
        <v>49.408999999999999</v>
      </c>
      <c r="R163">
        <v>1.4999999999999999E-2</v>
      </c>
      <c r="S163">
        <v>56.216999999999999</v>
      </c>
      <c r="T163">
        <v>1.4</v>
      </c>
      <c r="U163">
        <v>6.7370000000000001</v>
      </c>
      <c r="V163">
        <v>19.38</v>
      </c>
      <c r="W163">
        <v>93.263000000000005</v>
      </c>
      <c r="X163">
        <v>11529.927</v>
      </c>
      <c r="Y163">
        <v>13.37</v>
      </c>
      <c r="Z163">
        <v>45535614366</v>
      </c>
    </row>
    <row r="164" spans="1:26" hidden="1">
      <c r="A164" t="s">
        <v>44</v>
      </c>
      <c r="B164">
        <v>2018</v>
      </c>
      <c r="C164" t="s">
        <v>45</v>
      </c>
      <c r="D164" t="s">
        <v>28</v>
      </c>
      <c r="E164" t="s">
        <v>29</v>
      </c>
      <c r="F164">
        <v>10462310</v>
      </c>
      <c r="G164">
        <v>94246709824</v>
      </c>
      <c r="H164">
        <v>20.37</v>
      </c>
      <c r="I164">
        <v>20.46</v>
      </c>
      <c r="J164">
        <v>1955.5909999999999</v>
      </c>
      <c r="K164">
        <v>0.09</v>
      </c>
      <c r="L164">
        <v>0.44</v>
      </c>
      <c r="M164">
        <v>0.93100000000000005</v>
      </c>
      <c r="N164">
        <v>19.940999999999999</v>
      </c>
      <c r="O164">
        <v>88.986000000000004</v>
      </c>
      <c r="P164">
        <v>83.210999999999999</v>
      </c>
      <c r="Q164">
        <v>51.591000000000001</v>
      </c>
      <c r="R164">
        <v>1.4999999999999999E-2</v>
      </c>
      <c r="S164">
        <v>57.47</v>
      </c>
      <c r="T164">
        <v>2.16</v>
      </c>
      <c r="U164">
        <v>10.603999999999999</v>
      </c>
      <c r="V164">
        <v>18.21</v>
      </c>
      <c r="W164">
        <v>89.396000000000001</v>
      </c>
      <c r="X164">
        <v>10799.418</v>
      </c>
      <c r="Y164">
        <v>12.65</v>
      </c>
      <c r="Z164">
        <v>47435850423</v>
      </c>
    </row>
    <row r="165" spans="1:26" hidden="1">
      <c r="A165" t="s">
        <v>44</v>
      </c>
      <c r="B165">
        <v>2019</v>
      </c>
      <c r="C165" t="s">
        <v>45</v>
      </c>
      <c r="D165" t="s">
        <v>28</v>
      </c>
      <c r="E165" t="s">
        <v>29</v>
      </c>
      <c r="F165">
        <v>10671893</v>
      </c>
      <c r="G165">
        <v>96062846478</v>
      </c>
      <c r="H165">
        <v>20.53</v>
      </c>
      <c r="I165">
        <v>20.67</v>
      </c>
      <c r="J165">
        <v>1936.864</v>
      </c>
      <c r="K165">
        <v>0.14000000000000001</v>
      </c>
      <c r="L165">
        <v>0.67700000000000005</v>
      </c>
      <c r="M165">
        <v>0.85299999999999998</v>
      </c>
      <c r="N165">
        <v>19.600000000000001</v>
      </c>
      <c r="O165">
        <v>79.930000000000007</v>
      </c>
      <c r="P165">
        <v>81.150000000000006</v>
      </c>
      <c r="Q165">
        <v>50.313000000000002</v>
      </c>
      <c r="R165">
        <v>1.6E-2</v>
      </c>
      <c r="S165">
        <v>58.621000000000002</v>
      </c>
      <c r="T165">
        <v>2.96</v>
      </c>
      <c r="U165">
        <v>14.417999999999999</v>
      </c>
      <c r="V165">
        <v>17.57</v>
      </c>
      <c r="W165">
        <v>85.581999999999994</v>
      </c>
      <c r="X165">
        <v>10373.842000000001</v>
      </c>
      <c r="Y165">
        <v>12.25</v>
      </c>
      <c r="Z165">
        <v>48640273803</v>
      </c>
    </row>
    <row r="166" spans="1:26" hidden="1">
      <c r="A166" t="s">
        <v>44</v>
      </c>
      <c r="B166">
        <v>2020</v>
      </c>
      <c r="C166" t="s">
        <v>45</v>
      </c>
      <c r="D166" t="s">
        <v>28</v>
      </c>
      <c r="E166" t="s">
        <v>29</v>
      </c>
      <c r="F166">
        <v>10865232</v>
      </c>
      <c r="G166">
        <v>94554674762</v>
      </c>
      <c r="H166">
        <v>20.7</v>
      </c>
      <c r="I166">
        <v>20.89</v>
      </c>
      <c r="J166">
        <v>1922.646</v>
      </c>
      <c r="K166">
        <v>0.19</v>
      </c>
      <c r="L166">
        <v>0.91</v>
      </c>
      <c r="M166">
        <v>0.78100000000000003</v>
      </c>
      <c r="N166">
        <v>18.765000000000001</v>
      </c>
      <c r="O166">
        <v>71.881</v>
      </c>
      <c r="P166">
        <v>77.052999999999997</v>
      </c>
      <c r="Q166">
        <v>47.773000000000003</v>
      </c>
      <c r="R166">
        <v>1.7000000000000001E-2</v>
      </c>
      <c r="S166">
        <v>59.683</v>
      </c>
      <c r="T166">
        <v>3.92</v>
      </c>
      <c r="U166">
        <v>18.937000000000001</v>
      </c>
      <c r="V166">
        <v>16.78</v>
      </c>
      <c r="W166">
        <v>81.063000000000002</v>
      </c>
      <c r="X166">
        <v>9092.5390000000007</v>
      </c>
      <c r="Y166">
        <v>11.73</v>
      </c>
      <c r="Z166">
        <v>47931770986</v>
      </c>
    </row>
    <row r="167" spans="1:26" hidden="1">
      <c r="A167" t="s">
        <v>44</v>
      </c>
      <c r="B167">
        <v>2021</v>
      </c>
      <c r="C167" t="s">
        <v>45</v>
      </c>
      <c r="D167" t="s">
        <v>28</v>
      </c>
      <c r="E167" t="s">
        <v>29</v>
      </c>
      <c r="F167">
        <v>11066356</v>
      </c>
      <c r="G167">
        <v>96661338596</v>
      </c>
      <c r="H167">
        <v>21.36</v>
      </c>
      <c r="I167">
        <v>21.58</v>
      </c>
      <c r="J167">
        <v>1950.0550000000001</v>
      </c>
      <c r="K167">
        <v>0.22</v>
      </c>
      <c r="L167">
        <v>1.0189999999999999</v>
      </c>
      <c r="M167">
        <v>0.71499999999999997</v>
      </c>
      <c r="N167">
        <v>18.259</v>
      </c>
      <c r="O167">
        <v>64.61</v>
      </c>
      <c r="P167">
        <v>72.659000000000006</v>
      </c>
      <c r="Q167">
        <v>45.048999999999999</v>
      </c>
      <c r="R167">
        <v>1.7999999999999999E-2</v>
      </c>
      <c r="S167">
        <v>60.787999999999997</v>
      </c>
      <c r="T167">
        <v>4.91</v>
      </c>
      <c r="U167">
        <v>22.986999999999998</v>
      </c>
      <c r="V167">
        <v>16.45</v>
      </c>
      <c r="W167">
        <v>77.013000000000005</v>
      </c>
      <c r="X167">
        <v>9195.3230000000003</v>
      </c>
      <c r="Y167">
        <v>11.54</v>
      </c>
      <c r="Z167">
        <v>50702940986</v>
      </c>
    </row>
    <row r="168" spans="1:26" hidden="1">
      <c r="A168" t="s">
        <v>44</v>
      </c>
      <c r="B168">
        <v>2022</v>
      </c>
      <c r="C168" t="s">
        <v>45</v>
      </c>
      <c r="D168" t="s">
        <v>28</v>
      </c>
      <c r="E168" t="s">
        <v>29</v>
      </c>
      <c r="F168">
        <v>11256269</v>
      </c>
      <c r="G168">
        <v>99281825499</v>
      </c>
      <c r="H168">
        <v>22.57</v>
      </c>
      <c r="I168">
        <v>22.64</v>
      </c>
      <c r="J168">
        <v>2011.3240000000001</v>
      </c>
      <c r="K168">
        <v>7.0000000000000007E-2</v>
      </c>
      <c r="L168">
        <v>0.309</v>
      </c>
      <c r="M168">
        <v>0.65400000000000003</v>
      </c>
      <c r="N168">
        <v>19.399999999999999</v>
      </c>
      <c r="O168">
        <v>58.100999999999999</v>
      </c>
      <c r="P168">
        <v>73.061999999999998</v>
      </c>
      <c r="Q168">
        <v>45.298000000000002</v>
      </c>
      <c r="R168">
        <v>1.9E-2</v>
      </c>
      <c r="S168">
        <v>61.831000000000003</v>
      </c>
      <c r="T168">
        <v>5.22</v>
      </c>
      <c r="U168">
        <v>23.128</v>
      </c>
      <c r="V168">
        <v>17.350000000000001</v>
      </c>
      <c r="W168">
        <v>76.872</v>
      </c>
      <c r="X168">
        <v>9883.8700000000008</v>
      </c>
      <c r="Y168">
        <v>12.17</v>
      </c>
      <c r="Z168">
        <v>53516930141</v>
      </c>
    </row>
    <row r="169" spans="1:26" hidden="1">
      <c r="A169" t="s">
        <v>44</v>
      </c>
      <c r="B169">
        <v>2023</v>
      </c>
      <c r="C169" t="s">
        <v>45</v>
      </c>
      <c r="D169" t="s">
        <v>28</v>
      </c>
      <c r="E169" t="s">
        <v>29</v>
      </c>
      <c r="F169">
        <v>11439220</v>
      </c>
      <c r="G169" s="1">
        <v>107276000000</v>
      </c>
      <c r="H169">
        <v>23.77</v>
      </c>
      <c r="I169">
        <v>23.84</v>
      </c>
      <c r="J169">
        <v>2084.058</v>
      </c>
      <c r="K169">
        <v>7.0000000000000007E-2</v>
      </c>
      <c r="L169">
        <v>0.29399999999999998</v>
      </c>
      <c r="M169">
        <v>0.59899999999999998</v>
      </c>
      <c r="N169">
        <v>17.259</v>
      </c>
      <c r="O169">
        <v>52.363999999999997</v>
      </c>
      <c r="P169">
        <v>61.716000000000001</v>
      </c>
      <c r="Q169">
        <v>38.264000000000003</v>
      </c>
      <c r="R169">
        <v>0.02</v>
      </c>
      <c r="S169">
        <v>62.835999999999999</v>
      </c>
      <c r="T169">
        <v>5.22</v>
      </c>
      <c r="U169">
        <v>21.96</v>
      </c>
      <c r="V169">
        <v>18.55</v>
      </c>
      <c r="W169">
        <v>78.040000000000006</v>
      </c>
      <c r="X169">
        <v>9644.6260000000002</v>
      </c>
      <c r="Y169">
        <v>12.89</v>
      </c>
      <c r="Z169">
        <v>56123472113</v>
      </c>
    </row>
    <row r="170" spans="1:26" hidden="1">
      <c r="A170" t="s">
        <v>46</v>
      </c>
      <c r="B170">
        <v>2000</v>
      </c>
      <c r="C170" t="s">
        <v>47</v>
      </c>
      <c r="D170" t="s">
        <v>28</v>
      </c>
      <c r="E170" t="s">
        <v>29</v>
      </c>
      <c r="F170">
        <v>5305020</v>
      </c>
      <c r="G170">
        <v>49983450587</v>
      </c>
      <c r="H170">
        <v>15.5</v>
      </c>
      <c r="I170">
        <v>15.5</v>
      </c>
      <c r="J170">
        <v>2921.761</v>
      </c>
      <c r="K170">
        <v>0</v>
      </c>
      <c r="L170">
        <v>0</v>
      </c>
      <c r="M170">
        <v>55.86</v>
      </c>
      <c r="N170">
        <v>4</v>
      </c>
      <c r="O170">
        <v>10529.648999999999</v>
      </c>
      <c r="P170">
        <v>21.934999999999999</v>
      </c>
      <c r="Q170">
        <v>13.6</v>
      </c>
      <c r="R170">
        <v>808.26900000000001</v>
      </c>
      <c r="S170">
        <v>136.22200000000001</v>
      </c>
      <c r="T170">
        <v>0</v>
      </c>
      <c r="U170">
        <v>0</v>
      </c>
      <c r="V170">
        <v>15.5</v>
      </c>
      <c r="W170">
        <v>100</v>
      </c>
      <c r="X170">
        <v>40140.523000000001</v>
      </c>
      <c r="Y170">
        <v>10.97</v>
      </c>
      <c r="Z170">
        <v>38270954138</v>
      </c>
    </row>
    <row r="171" spans="1:26" hidden="1">
      <c r="A171" t="s">
        <v>46</v>
      </c>
      <c r="B171">
        <v>2001</v>
      </c>
      <c r="C171" t="s">
        <v>47</v>
      </c>
      <c r="D171" t="s">
        <v>28</v>
      </c>
      <c r="E171" t="s">
        <v>29</v>
      </c>
      <c r="F171">
        <v>5403639</v>
      </c>
      <c r="G171">
        <v>54225701449</v>
      </c>
      <c r="H171">
        <v>16.11</v>
      </c>
      <c r="I171">
        <v>16.11</v>
      </c>
      <c r="J171">
        <v>2981.3240000000001</v>
      </c>
      <c r="K171">
        <v>0</v>
      </c>
      <c r="L171">
        <v>0</v>
      </c>
      <c r="M171">
        <v>58.71</v>
      </c>
      <c r="N171">
        <v>4.1760000000000002</v>
      </c>
      <c r="O171">
        <v>10864.9</v>
      </c>
      <c r="P171">
        <v>22.036000000000001</v>
      </c>
      <c r="Q171">
        <v>13.662000000000001</v>
      </c>
      <c r="R171">
        <v>779.80100000000004</v>
      </c>
      <c r="S171">
        <v>138.755</v>
      </c>
      <c r="T171">
        <v>0</v>
      </c>
      <c r="U171">
        <v>0</v>
      </c>
      <c r="V171">
        <v>16.11</v>
      </c>
      <c r="W171">
        <v>100</v>
      </c>
      <c r="X171">
        <v>39725.163999999997</v>
      </c>
      <c r="Y171">
        <v>11.4</v>
      </c>
      <c r="Z171">
        <v>34112093927</v>
      </c>
    </row>
    <row r="172" spans="1:26" hidden="1">
      <c r="A172" t="s">
        <v>46</v>
      </c>
      <c r="B172">
        <v>2002</v>
      </c>
      <c r="C172" t="s">
        <v>47</v>
      </c>
      <c r="D172" t="s">
        <v>28</v>
      </c>
      <c r="E172" t="s">
        <v>29</v>
      </c>
      <c r="F172">
        <v>5508412</v>
      </c>
      <c r="G172">
        <v>57785797189</v>
      </c>
      <c r="H172">
        <v>17.53</v>
      </c>
      <c r="I172">
        <v>17.53</v>
      </c>
      <c r="J172">
        <v>3182.4059999999999</v>
      </c>
      <c r="K172">
        <v>0</v>
      </c>
      <c r="L172">
        <v>0</v>
      </c>
      <c r="M172">
        <v>56.05</v>
      </c>
      <c r="N172">
        <v>4.3529999999999998</v>
      </c>
      <c r="O172">
        <v>10175.347</v>
      </c>
      <c r="P172">
        <v>21.106999999999999</v>
      </c>
      <c r="Q172">
        <v>13.086</v>
      </c>
      <c r="R172">
        <v>750.76199999999994</v>
      </c>
      <c r="S172">
        <v>141.44499999999999</v>
      </c>
      <c r="T172">
        <v>0</v>
      </c>
      <c r="U172">
        <v>0</v>
      </c>
      <c r="V172">
        <v>17.53</v>
      </c>
      <c r="W172">
        <v>100</v>
      </c>
      <c r="X172">
        <v>40171.858999999997</v>
      </c>
      <c r="Y172">
        <v>12.37</v>
      </c>
      <c r="Z172">
        <v>20481889764</v>
      </c>
    </row>
    <row r="173" spans="1:26" hidden="1">
      <c r="A173" t="s">
        <v>46</v>
      </c>
      <c r="B173">
        <v>2003</v>
      </c>
      <c r="C173" t="s">
        <v>47</v>
      </c>
      <c r="D173" t="s">
        <v>28</v>
      </c>
      <c r="E173" t="s">
        <v>29</v>
      </c>
      <c r="F173">
        <v>5619405</v>
      </c>
      <c r="G173">
        <v>70475273789</v>
      </c>
      <c r="H173">
        <v>18.95</v>
      </c>
      <c r="I173">
        <v>18.95</v>
      </c>
      <c r="J173">
        <v>3372.2429999999999</v>
      </c>
      <c r="K173">
        <v>0</v>
      </c>
      <c r="L173">
        <v>0</v>
      </c>
      <c r="M173">
        <v>52.25</v>
      </c>
      <c r="N173">
        <v>4.5410000000000004</v>
      </c>
      <c r="O173">
        <v>9298.1380000000008</v>
      </c>
      <c r="P173">
        <v>20.369</v>
      </c>
      <c r="Q173">
        <v>12.629</v>
      </c>
      <c r="R173">
        <v>811.53700000000003</v>
      </c>
      <c r="S173">
        <v>144.29499999999999</v>
      </c>
      <c r="T173">
        <v>0</v>
      </c>
      <c r="U173">
        <v>0</v>
      </c>
      <c r="V173">
        <v>18.95</v>
      </c>
      <c r="W173">
        <v>100</v>
      </c>
      <c r="X173">
        <v>38797.038999999997</v>
      </c>
      <c r="Y173">
        <v>13.35</v>
      </c>
      <c r="Z173">
        <v>26265625000</v>
      </c>
    </row>
    <row r="174" spans="1:26" hidden="1">
      <c r="A174" t="s">
        <v>46</v>
      </c>
      <c r="B174">
        <v>2004</v>
      </c>
      <c r="C174" t="s">
        <v>47</v>
      </c>
      <c r="D174" t="s">
        <v>28</v>
      </c>
      <c r="E174" t="s">
        <v>29</v>
      </c>
      <c r="F174">
        <v>5736696</v>
      </c>
      <c r="G174">
        <v>79415538130</v>
      </c>
      <c r="H174">
        <v>20.2</v>
      </c>
      <c r="I174">
        <v>20.2</v>
      </c>
      <c r="J174">
        <v>3521.1909999999998</v>
      </c>
      <c r="K174">
        <v>0</v>
      </c>
      <c r="L174">
        <v>0</v>
      </c>
      <c r="M174">
        <v>76.569999999999993</v>
      </c>
      <c r="N174">
        <v>4.5060000000000002</v>
      </c>
      <c r="O174">
        <v>13347.404</v>
      </c>
      <c r="P174">
        <v>18.96</v>
      </c>
      <c r="Q174">
        <v>11.755000000000001</v>
      </c>
      <c r="R174">
        <v>889.99699999999996</v>
      </c>
      <c r="S174">
        <v>147.30699999999999</v>
      </c>
      <c r="T174">
        <v>0</v>
      </c>
      <c r="U174">
        <v>0</v>
      </c>
      <c r="V174">
        <v>20.2</v>
      </c>
      <c r="W174">
        <v>100</v>
      </c>
      <c r="X174">
        <v>38933.093999999997</v>
      </c>
      <c r="Y174">
        <v>14.16</v>
      </c>
      <c r="Z174">
        <v>33122307692</v>
      </c>
    </row>
    <row r="175" spans="1:26" hidden="1">
      <c r="A175" t="s">
        <v>46</v>
      </c>
      <c r="B175">
        <v>2005</v>
      </c>
      <c r="C175" t="s">
        <v>47</v>
      </c>
      <c r="D175" t="s">
        <v>28</v>
      </c>
      <c r="E175" t="s">
        <v>29</v>
      </c>
      <c r="F175">
        <v>5858793</v>
      </c>
      <c r="G175">
        <v>94523140632</v>
      </c>
      <c r="H175">
        <v>22.32</v>
      </c>
      <c r="I175">
        <v>22.37</v>
      </c>
      <c r="J175">
        <v>3818.1930000000002</v>
      </c>
      <c r="K175">
        <v>0.05</v>
      </c>
      <c r="L175">
        <v>0.224</v>
      </c>
      <c r="M175">
        <v>107.35</v>
      </c>
      <c r="N175">
        <v>7.0350000000000001</v>
      </c>
      <c r="O175">
        <v>18322.886999999999</v>
      </c>
      <c r="P175">
        <v>26.792000000000002</v>
      </c>
      <c r="Q175">
        <v>16.611000000000001</v>
      </c>
      <c r="R175">
        <v>953.26900000000001</v>
      </c>
      <c r="S175">
        <v>150.44200000000001</v>
      </c>
      <c r="T175">
        <v>0</v>
      </c>
      <c r="U175">
        <v>0</v>
      </c>
      <c r="V175">
        <v>22.32</v>
      </c>
      <c r="W175">
        <v>100</v>
      </c>
      <c r="X175">
        <v>39424.711000000003</v>
      </c>
      <c r="Y175">
        <v>16.04</v>
      </c>
      <c r="Z175">
        <v>47334691241</v>
      </c>
    </row>
    <row r="176" spans="1:26" hidden="1">
      <c r="A176" t="s">
        <v>46</v>
      </c>
      <c r="B176">
        <v>2006</v>
      </c>
      <c r="C176" t="s">
        <v>47</v>
      </c>
      <c r="D176" t="s">
        <v>28</v>
      </c>
      <c r="E176" t="s">
        <v>29</v>
      </c>
      <c r="F176">
        <v>5980212</v>
      </c>
      <c r="G176" s="1">
        <v>108873000000</v>
      </c>
      <c r="H176">
        <v>24.75</v>
      </c>
      <c r="I176">
        <v>24.78</v>
      </c>
      <c r="J176">
        <v>4143.6660000000002</v>
      </c>
      <c r="K176">
        <v>0.03</v>
      </c>
      <c r="L176">
        <v>0.121</v>
      </c>
      <c r="M176">
        <v>125.35299999999999</v>
      </c>
      <c r="N176">
        <v>11.529</v>
      </c>
      <c r="O176">
        <v>20961.213</v>
      </c>
      <c r="P176">
        <v>39.595999999999997</v>
      </c>
      <c r="Q176">
        <v>24.55</v>
      </c>
      <c r="R176">
        <v>983.53700000000003</v>
      </c>
      <c r="S176">
        <v>153.56</v>
      </c>
      <c r="T176">
        <v>0</v>
      </c>
      <c r="U176">
        <v>0</v>
      </c>
      <c r="V176">
        <v>24.75</v>
      </c>
      <c r="W176">
        <v>100</v>
      </c>
      <c r="X176">
        <v>35416.366999999998</v>
      </c>
      <c r="Y176">
        <v>18.510000000000002</v>
      </c>
      <c r="Z176">
        <v>60094231607</v>
      </c>
    </row>
    <row r="177" spans="1:26" hidden="1">
      <c r="A177" t="s">
        <v>46</v>
      </c>
      <c r="B177">
        <v>2007</v>
      </c>
      <c r="C177" t="s">
        <v>47</v>
      </c>
      <c r="D177" t="s">
        <v>28</v>
      </c>
      <c r="E177" t="s">
        <v>29</v>
      </c>
      <c r="F177">
        <v>6104381</v>
      </c>
      <c r="G177" s="1">
        <v>123716000000</v>
      </c>
      <c r="H177">
        <v>26.23</v>
      </c>
      <c r="I177">
        <v>26.2</v>
      </c>
      <c r="J177">
        <v>4292</v>
      </c>
      <c r="K177">
        <v>-0.03</v>
      </c>
      <c r="L177">
        <v>-0.115</v>
      </c>
      <c r="M177">
        <v>145.16</v>
      </c>
      <c r="N177">
        <v>13.576000000000001</v>
      </c>
      <c r="O177">
        <v>23779.641</v>
      </c>
      <c r="P177">
        <v>43.994999999999997</v>
      </c>
      <c r="Q177">
        <v>27.277000000000001</v>
      </c>
      <c r="R177">
        <v>1005.208</v>
      </c>
      <c r="S177">
        <v>156.74799999999999</v>
      </c>
      <c r="T177">
        <v>0</v>
      </c>
      <c r="U177">
        <v>0</v>
      </c>
      <c r="V177">
        <v>26.23</v>
      </c>
      <c r="W177">
        <v>100</v>
      </c>
      <c r="X177">
        <v>34466.788999999997</v>
      </c>
      <c r="Y177">
        <v>19.88</v>
      </c>
      <c r="Z177">
        <v>68032978391</v>
      </c>
    </row>
    <row r="178" spans="1:26" hidden="1">
      <c r="A178" t="s">
        <v>46</v>
      </c>
      <c r="B178">
        <v>2008</v>
      </c>
      <c r="C178" t="s">
        <v>47</v>
      </c>
      <c r="D178" t="s">
        <v>28</v>
      </c>
      <c r="E178" t="s">
        <v>29</v>
      </c>
      <c r="F178">
        <v>6235433</v>
      </c>
      <c r="G178" s="1">
        <v>153727000000</v>
      </c>
      <c r="H178">
        <v>28.67</v>
      </c>
      <c r="I178">
        <v>28.62</v>
      </c>
      <c r="J178">
        <v>4589.8980000000001</v>
      </c>
      <c r="K178">
        <v>-0.05</v>
      </c>
      <c r="L178">
        <v>-0.17499999999999999</v>
      </c>
      <c r="M178">
        <v>151.05000000000001</v>
      </c>
      <c r="N178">
        <v>13.824</v>
      </c>
      <c r="O178">
        <v>24224.460999999999</v>
      </c>
      <c r="P178">
        <v>40.984000000000002</v>
      </c>
      <c r="Q178">
        <v>25.41</v>
      </c>
      <c r="R178">
        <v>990.91700000000003</v>
      </c>
      <c r="S178">
        <v>160.114</v>
      </c>
      <c r="T178">
        <v>0</v>
      </c>
      <c r="U178">
        <v>0</v>
      </c>
      <c r="V178">
        <v>28.67</v>
      </c>
      <c r="W178">
        <v>100</v>
      </c>
      <c r="X178">
        <v>35030.726999999999</v>
      </c>
      <c r="Y178">
        <v>21.53</v>
      </c>
      <c r="Z178">
        <v>86710767415</v>
      </c>
    </row>
    <row r="179" spans="1:26" hidden="1">
      <c r="A179" t="s">
        <v>46</v>
      </c>
      <c r="B179">
        <v>2009</v>
      </c>
      <c r="C179" t="s">
        <v>47</v>
      </c>
      <c r="D179" t="s">
        <v>28</v>
      </c>
      <c r="E179" t="s">
        <v>29</v>
      </c>
      <c r="F179">
        <v>6366689</v>
      </c>
      <c r="G179" s="1">
        <v>165560000000</v>
      </c>
      <c r="H179">
        <v>30.38</v>
      </c>
      <c r="I179">
        <v>30.35</v>
      </c>
      <c r="J179">
        <v>4766.9989999999998</v>
      </c>
      <c r="K179">
        <v>-0.03</v>
      </c>
      <c r="L179">
        <v>-9.9000000000000005E-2</v>
      </c>
      <c r="M179">
        <v>151.05000000000001</v>
      </c>
      <c r="N179">
        <v>14.012</v>
      </c>
      <c r="O179">
        <v>23725.048999999999</v>
      </c>
      <c r="P179">
        <v>39.203000000000003</v>
      </c>
      <c r="Q179">
        <v>24.306000000000001</v>
      </c>
      <c r="R179">
        <v>913.58799999999997</v>
      </c>
      <c r="S179">
        <v>163.48400000000001</v>
      </c>
      <c r="T179">
        <v>0</v>
      </c>
      <c r="U179">
        <v>0</v>
      </c>
      <c r="V179">
        <v>30.38</v>
      </c>
      <c r="W179">
        <v>100</v>
      </c>
      <c r="X179">
        <v>39264.839999999997</v>
      </c>
      <c r="Y179">
        <v>22.69</v>
      </c>
      <c r="Z179">
        <v>60808562033</v>
      </c>
    </row>
    <row r="180" spans="1:26" hidden="1">
      <c r="A180" t="s">
        <v>46</v>
      </c>
      <c r="B180">
        <v>2010</v>
      </c>
      <c r="C180" t="s">
        <v>47</v>
      </c>
      <c r="D180" t="s">
        <v>28</v>
      </c>
      <c r="E180" t="s">
        <v>29</v>
      </c>
      <c r="F180">
        <v>6497837</v>
      </c>
      <c r="G180" s="1">
        <v>187529000000</v>
      </c>
      <c r="H180">
        <v>32.56</v>
      </c>
      <c r="I180">
        <v>32.479999999999997</v>
      </c>
      <c r="J180">
        <v>4998.5860000000002</v>
      </c>
      <c r="K180">
        <v>-0.08</v>
      </c>
      <c r="L180">
        <v>-0.246</v>
      </c>
      <c r="M180">
        <v>159.733</v>
      </c>
      <c r="N180">
        <v>18.047000000000001</v>
      </c>
      <c r="O180">
        <v>24582.488000000001</v>
      </c>
      <c r="P180">
        <v>47.113</v>
      </c>
      <c r="Q180">
        <v>29.21</v>
      </c>
      <c r="R180">
        <v>949.31600000000003</v>
      </c>
      <c r="S180">
        <v>166.852</v>
      </c>
      <c r="T180">
        <v>0.01</v>
      </c>
      <c r="U180">
        <v>3.1E-2</v>
      </c>
      <c r="V180">
        <v>32.549999999999997</v>
      </c>
      <c r="W180">
        <v>99.968999999999994</v>
      </c>
      <c r="X180">
        <v>40569.050999999999</v>
      </c>
      <c r="Y180">
        <v>24.89</v>
      </c>
      <c r="Z180">
        <v>75380825062</v>
      </c>
    </row>
    <row r="181" spans="1:26" hidden="1">
      <c r="A181" t="s">
        <v>46</v>
      </c>
      <c r="B181">
        <v>2011</v>
      </c>
      <c r="C181" t="s">
        <v>47</v>
      </c>
      <c r="D181" t="s">
        <v>28</v>
      </c>
      <c r="E181" t="s">
        <v>29</v>
      </c>
      <c r="F181">
        <v>6343210</v>
      </c>
      <c r="G181">
        <v>79210078190</v>
      </c>
      <c r="H181">
        <v>26.01</v>
      </c>
      <c r="I181">
        <v>25.95</v>
      </c>
      <c r="J181">
        <v>4090.989</v>
      </c>
      <c r="K181">
        <v>-0.06</v>
      </c>
      <c r="L181">
        <v>-0.23100000000000001</v>
      </c>
      <c r="M181">
        <v>74.622</v>
      </c>
      <c r="N181">
        <v>18.294</v>
      </c>
      <c r="O181">
        <v>11764.153</v>
      </c>
      <c r="P181">
        <v>59.784999999999997</v>
      </c>
      <c r="Q181">
        <v>37.067</v>
      </c>
      <c r="R181">
        <v>278.37200000000001</v>
      </c>
      <c r="S181">
        <v>162.881</v>
      </c>
      <c r="T181">
        <v>0.01</v>
      </c>
      <c r="U181">
        <v>3.7999999999999999E-2</v>
      </c>
      <c r="V181">
        <v>26</v>
      </c>
      <c r="W181">
        <v>99.962000000000003</v>
      </c>
      <c r="X181">
        <v>27274.67</v>
      </c>
      <c r="Y181">
        <v>20.64</v>
      </c>
      <c r="Z181">
        <v>48169263294</v>
      </c>
    </row>
    <row r="182" spans="1:26" hidden="1">
      <c r="A182" t="s">
        <v>46</v>
      </c>
      <c r="B182">
        <v>2012</v>
      </c>
      <c r="C182" t="s">
        <v>47</v>
      </c>
      <c r="D182" t="s">
        <v>28</v>
      </c>
      <c r="E182" t="s">
        <v>29</v>
      </c>
      <c r="F182">
        <v>6179327</v>
      </c>
      <c r="G182" s="1">
        <v>147986000000</v>
      </c>
      <c r="H182">
        <v>34.29</v>
      </c>
      <c r="I182">
        <v>34.340000000000003</v>
      </c>
      <c r="J182">
        <v>5557.24</v>
      </c>
      <c r="K182">
        <v>0.05</v>
      </c>
      <c r="L182">
        <v>0.14599999999999999</v>
      </c>
      <c r="M182">
        <v>115.9</v>
      </c>
      <c r="N182">
        <v>24.388000000000002</v>
      </c>
      <c r="O182">
        <v>18756.088</v>
      </c>
      <c r="P182">
        <v>60.454999999999998</v>
      </c>
      <c r="Q182">
        <v>37.481999999999999</v>
      </c>
      <c r="R182">
        <v>810.21500000000003</v>
      </c>
      <c r="S182">
        <v>158.673</v>
      </c>
      <c r="T182">
        <v>0.01</v>
      </c>
      <c r="U182">
        <v>2.9000000000000001E-2</v>
      </c>
      <c r="V182">
        <v>34.28</v>
      </c>
      <c r="W182">
        <v>99.971000000000004</v>
      </c>
      <c r="X182">
        <v>34885.809000000001</v>
      </c>
      <c r="Y182">
        <v>27.26</v>
      </c>
      <c r="Z182">
        <v>92540938129</v>
      </c>
    </row>
    <row r="183" spans="1:26" hidden="1">
      <c r="A183" t="s">
        <v>46</v>
      </c>
      <c r="B183">
        <v>2013</v>
      </c>
      <c r="C183" t="s">
        <v>47</v>
      </c>
      <c r="D183" t="s">
        <v>28</v>
      </c>
      <c r="E183" t="s">
        <v>29</v>
      </c>
      <c r="F183">
        <v>6304636</v>
      </c>
      <c r="G183" s="1">
        <v>121351000000</v>
      </c>
      <c r="H183">
        <v>37.93</v>
      </c>
      <c r="I183">
        <v>37.99</v>
      </c>
      <c r="J183">
        <v>6025.7250000000004</v>
      </c>
      <c r="K183">
        <v>0.06</v>
      </c>
      <c r="L183">
        <v>0.158</v>
      </c>
      <c r="M183">
        <v>121.6</v>
      </c>
      <c r="N183">
        <v>26.047000000000001</v>
      </c>
      <c r="O183">
        <v>19287.395</v>
      </c>
      <c r="P183">
        <v>58.371000000000002</v>
      </c>
      <c r="Q183">
        <v>36.19</v>
      </c>
      <c r="R183">
        <v>554.65</v>
      </c>
      <c r="S183">
        <v>161.89099999999999</v>
      </c>
      <c r="T183">
        <v>0.01</v>
      </c>
      <c r="U183">
        <v>2.5999999999999999E-2</v>
      </c>
      <c r="V183">
        <v>37.92</v>
      </c>
      <c r="W183">
        <v>99.974000000000004</v>
      </c>
      <c r="X183">
        <v>36775.57</v>
      </c>
      <c r="Y183">
        <v>29.97</v>
      </c>
      <c r="Z183">
        <v>75351107029</v>
      </c>
    </row>
    <row r="184" spans="1:26" hidden="1">
      <c r="A184" t="s">
        <v>46</v>
      </c>
      <c r="B184">
        <v>2014</v>
      </c>
      <c r="C184" t="s">
        <v>47</v>
      </c>
      <c r="D184" t="s">
        <v>28</v>
      </c>
      <c r="E184" t="s">
        <v>29</v>
      </c>
      <c r="F184">
        <v>6427260</v>
      </c>
      <c r="G184">
        <v>93388346336</v>
      </c>
      <c r="H184">
        <v>37.729999999999997</v>
      </c>
      <c r="I184">
        <v>37.82</v>
      </c>
      <c r="J184">
        <v>5884.3119999999999</v>
      </c>
      <c r="K184">
        <v>0.09</v>
      </c>
      <c r="L184">
        <v>0.23799999999999999</v>
      </c>
      <c r="M184">
        <v>118.27500000000001</v>
      </c>
      <c r="N184">
        <v>23.835000000000001</v>
      </c>
      <c r="O184">
        <v>18402.088</v>
      </c>
      <c r="P184">
        <v>53.697000000000003</v>
      </c>
      <c r="Q184">
        <v>33.292000000000002</v>
      </c>
      <c r="R184">
        <v>269.78500000000003</v>
      </c>
      <c r="S184">
        <v>165.03899999999999</v>
      </c>
      <c r="T184">
        <v>0.01</v>
      </c>
      <c r="U184">
        <v>2.7E-2</v>
      </c>
      <c r="V184">
        <v>37.72</v>
      </c>
      <c r="W184">
        <v>99.974000000000004</v>
      </c>
      <c r="X184">
        <v>35231.008000000002</v>
      </c>
      <c r="Y184">
        <v>29.42</v>
      </c>
      <c r="Z184">
        <v>57372355592</v>
      </c>
    </row>
    <row r="185" spans="1:26" hidden="1">
      <c r="A185" t="s">
        <v>46</v>
      </c>
      <c r="B185">
        <v>2015</v>
      </c>
      <c r="C185" t="s">
        <v>47</v>
      </c>
      <c r="D185" t="s">
        <v>28</v>
      </c>
      <c r="E185" t="s">
        <v>29</v>
      </c>
      <c r="F185">
        <v>6531825</v>
      </c>
      <c r="G185">
        <v>92601079752</v>
      </c>
      <c r="H185">
        <v>37.51</v>
      </c>
      <c r="I185">
        <v>37.51</v>
      </c>
      <c r="J185">
        <v>5742.652</v>
      </c>
      <c r="K185">
        <v>0</v>
      </c>
      <c r="L185">
        <v>0</v>
      </c>
      <c r="M185">
        <v>129.04499999999999</v>
      </c>
      <c r="N185">
        <v>23.835000000000001</v>
      </c>
      <c r="O185">
        <v>19756.416000000001</v>
      </c>
      <c r="P185">
        <v>54.012</v>
      </c>
      <c r="Q185">
        <v>33.487000000000002</v>
      </c>
      <c r="R185">
        <v>225.18299999999999</v>
      </c>
      <c r="S185">
        <v>167.72399999999999</v>
      </c>
      <c r="T185">
        <v>0.01</v>
      </c>
      <c r="U185">
        <v>2.7E-2</v>
      </c>
      <c r="V185">
        <v>37.5</v>
      </c>
      <c r="W185">
        <v>99.972999999999999</v>
      </c>
      <c r="X185">
        <v>27587.34</v>
      </c>
      <c r="Y185">
        <v>29.27</v>
      </c>
      <c r="Z185">
        <v>48717501321</v>
      </c>
    </row>
    <row r="186" spans="1:26" hidden="1">
      <c r="A186" t="s">
        <v>46</v>
      </c>
      <c r="B186">
        <v>2016</v>
      </c>
      <c r="C186" t="s">
        <v>47</v>
      </c>
      <c r="D186" t="s">
        <v>28</v>
      </c>
      <c r="E186" t="s">
        <v>29</v>
      </c>
      <c r="F186">
        <v>6632130</v>
      </c>
      <c r="G186">
        <v>91220396354</v>
      </c>
      <c r="H186">
        <v>31.42</v>
      </c>
      <c r="I186">
        <v>31.8</v>
      </c>
      <c r="J186">
        <v>4794.8389999999999</v>
      </c>
      <c r="K186">
        <v>0.38</v>
      </c>
      <c r="L186">
        <v>1.1950000000000001</v>
      </c>
      <c r="M186">
        <v>127.145</v>
      </c>
      <c r="N186">
        <v>26.823</v>
      </c>
      <c r="O186">
        <v>19171.006000000001</v>
      </c>
      <c r="P186">
        <v>72.564999999999998</v>
      </c>
      <c r="Q186">
        <v>44.99</v>
      </c>
      <c r="R186">
        <v>212.006</v>
      </c>
      <c r="S186">
        <v>170.3</v>
      </c>
      <c r="T186">
        <v>0.01</v>
      </c>
      <c r="U186">
        <v>3.2000000000000001E-2</v>
      </c>
      <c r="V186">
        <v>31.41</v>
      </c>
      <c r="W186">
        <v>99.968000000000004</v>
      </c>
      <c r="X186">
        <v>26594.118999999999</v>
      </c>
      <c r="Y186">
        <v>25.85</v>
      </c>
      <c r="Z186">
        <v>49912073701</v>
      </c>
    </row>
    <row r="187" spans="1:26" hidden="1">
      <c r="A187" t="s">
        <v>46</v>
      </c>
      <c r="B187">
        <v>2017</v>
      </c>
      <c r="C187" t="s">
        <v>47</v>
      </c>
      <c r="D187" t="s">
        <v>28</v>
      </c>
      <c r="E187" t="s">
        <v>29</v>
      </c>
      <c r="F187">
        <v>6738771</v>
      </c>
      <c r="G187" s="1">
        <v>120860000000</v>
      </c>
      <c r="H187">
        <v>33.28</v>
      </c>
      <c r="I187">
        <v>33.58</v>
      </c>
      <c r="J187">
        <v>4983.1049999999996</v>
      </c>
      <c r="K187">
        <v>0.3</v>
      </c>
      <c r="L187">
        <v>0.89300000000000002</v>
      </c>
      <c r="M187">
        <v>141.79400000000001</v>
      </c>
      <c r="N187">
        <v>26.859000000000002</v>
      </c>
      <c r="O187">
        <v>21041.57</v>
      </c>
      <c r="P187">
        <v>68.599999999999994</v>
      </c>
      <c r="Q187">
        <v>42.531999999999996</v>
      </c>
      <c r="R187">
        <v>489.69799999999998</v>
      </c>
      <c r="S187">
        <v>173.03800000000001</v>
      </c>
      <c r="T187">
        <v>0.01</v>
      </c>
      <c r="U187">
        <v>0.03</v>
      </c>
      <c r="V187">
        <v>33.270000000000003</v>
      </c>
      <c r="W187">
        <v>99.97</v>
      </c>
      <c r="X187">
        <v>41165.112999999998</v>
      </c>
      <c r="Y187">
        <v>27.07</v>
      </c>
      <c r="Z187">
        <v>67157452182</v>
      </c>
    </row>
    <row r="188" spans="1:26" hidden="1">
      <c r="A188" t="s">
        <v>46</v>
      </c>
      <c r="B188">
        <v>2018</v>
      </c>
      <c r="C188" t="s">
        <v>47</v>
      </c>
      <c r="D188" t="s">
        <v>28</v>
      </c>
      <c r="E188" t="s">
        <v>29</v>
      </c>
      <c r="F188">
        <v>6849058</v>
      </c>
      <c r="G188" s="1">
        <v>130457000000</v>
      </c>
      <c r="H188">
        <v>34.18</v>
      </c>
      <c r="I188">
        <v>34.65</v>
      </c>
      <c r="J188">
        <v>5059.09</v>
      </c>
      <c r="K188">
        <v>0.47</v>
      </c>
      <c r="L188">
        <v>1.3560000000000001</v>
      </c>
      <c r="M188">
        <v>139.79499999999999</v>
      </c>
      <c r="N188">
        <v>26.364999999999998</v>
      </c>
      <c r="O188">
        <v>20410.859</v>
      </c>
      <c r="P188">
        <v>65.564999999999998</v>
      </c>
      <c r="Q188">
        <v>40.65</v>
      </c>
      <c r="R188">
        <v>621.09799999999996</v>
      </c>
      <c r="S188">
        <v>175.87</v>
      </c>
      <c r="T188">
        <v>0.01</v>
      </c>
      <c r="U188">
        <v>2.9000000000000001E-2</v>
      </c>
      <c r="V188">
        <v>34.17</v>
      </c>
      <c r="W188">
        <v>99.971000000000004</v>
      </c>
      <c r="X188">
        <v>38450.116999999998</v>
      </c>
      <c r="Y188">
        <v>27.57</v>
      </c>
      <c r="Z188">
        <v>76686029772</v>
      </c>
    </row>
    <row r="189" spans="1:26" hidden="1">
      <c r="A189" t="s">
        <v>46</v>
      </c>
      <c r="B189">
        <v>2019</v>
      </c>
      <c r="C189" t="s">
        <v>47</v>
      </c>
      <c r="D189" t="s">
        <v>28</v>
      </c>
      <c r="E189" t="s">
        <v>29</v>
      </c>
      <c r="F189">
        <v>6951040</v>
      </c>
      <c r="G189" s="1">
        <v>115851000000</v>
      </c>
      <c r="H189">
        <v>34.630000000000003</v>
      </c>
      <c r="I189">
        <v>35.409999999999997</v>
      </c>
      <c r="J189">
        <v>5094.2020000000002</v>
      </c>
      <c r="K189">
        <v>0.78</v>
      </c>
      <c r="L189">
        <v>2.2029999999999998</v>
      </c>
      <c r="M189">
        <v>160.47499999999999</v>
      </c>
      <c r="N189">
        <v>27.353000000000002</v>
      </c>
      <c r="O189">
        <v>23086.502</v>
      </c>
      <c r="P189">
        <v>67.138000000000005</v>
      </c>
      <c r="Q189">
        <v>41.625999999999998</v>
      </c>
      <c r="R189">
        <v>652.97299999999996</v>
      </c>
      <c r="S189">
        <v>178.489</v>
      </c>
      <c r="T189">
        <v>0.01</v>
      </c>
      <c r="U189">
        <v>2.9000000000000001E-2</v>
      </c>
      <c r="V189">
        <v>34.619999999999997</v>
      </c>
      <c r="W189">
        <v>99.971000000000004</v>
      </c>
      <c r="X189">
        <v>32330.232</v>
      </c>
      <c r="Y189">
        <v>28.05</v>
      </c>
      <c r="Z189">
        <v>69254496472</v>
      </c>
    </row>
    <row r="190" spans="1:26" hidden="1">
      <c r="A190" t="s">
        <v>46</v>
      </c>
      <c r="B190">
        <v>2020</v>
      </c>
      <c r="C190" t="s">
        <v>47</v>
      </c>
      <c r="D190" t="s">
        <v>28</v>
      </c>
      <c r="E190" t="s">
        <v>29</v>
      </c>
      <c r="F190">
        <v>7045403</v>
      </c>
      <c r="G190">
        <v>81726075633</v>
      </c>
      <c r="H190">
        <v>29.5</v>
      </c>
      <c r="I190">
        <v>30.76</v>
      </c>
      <c r="J190">
        <v>4365.9669999999996</v>
      </c>
      <c r="K190">
        <v>1.26</v>
      </c>
      <c r="L190">
        <v>4.0960000000000001</v>
      </c>
      <c r="M190">
        <v>126.997</v>
      </c>
      <c r="N190">
        <v>25.446999999999999</v>
      </c>
      <c r="O190">
        <v>18025.528999999999</v>
      </c>
      <c r="P190">
        <v>73.322000000000003</v>
      </c>
      <c r="Q190">
        <v>45.46</v>
      </c>
      <c r="R190">
        <v>227.90700000000001</v>
      </c>
      <c r="S190">
        <v>180.91200000000001</v>
      </c>
      <c r="T190">
        <v>0.01</v>
      </c>
      <c r="U190">
        <v>3.4000000000000002E-2</v>
      </c>
      <c r="V190">
        <v>29.49</v>
      </c>
      <c r="W190">
        <v>99.965999999999994</v>
      </c>
      <c r="X190">
        <v>25440.333999999999</v>
      </c>
      <c r="Y190">
        <v>24.31</v>
      </c>
      <c r="Z190">
        <v>46854285441</v>
      </c>
    </row>
    <row r="191" spans="1:26" hidden="1">
      <c r="A191" t="s">
        <v>46</v>
      </c>
      <c r="B191">
        <v>2021</v>
      </c>
      <c r="C191" t="s">
        <v>47</v>
      </c>
      <c r="D191" t="s">
        <v>28</v>
      </c>
      <c r="E191" t="s">
        <v>29</v>
      </c>
      <c r="F191">
        <v>7135179</v>
      </c>
      <c r="G191" s="1">
        <v>104883000000</v>
      </c>
      <c r="H191">
        <v>34.79</v>
      </c>
      <c r="I191">
        <v>35.57</v>
      </c>
      <c r="J191">
        <v>4985.1589999999997</v>
      </c>
      <c r="K191">
        <v>0.78</v>
      </c>
      <c r="L191">
        <v>2.1930000000000001</v>
      </c>
      <c r="M191">
        <v>152.61000000000001</v>
      </c>
      <c r="N191">
        <v>31.306000000000001</v>
      </c>
      <c r="O191">
        <v>21388.331999999999</v>
      </c>
      <c r="P191">
        <v>76.486999999999995</v>
      </c>
      <c r="Q191">
        <v>47.421999999999997</v>
      </c>
      <c r="R191">
        <v>683.33100000000002</v>
      </c>
      <c r="S191">
        <v>183.21700000000001</v>
      </c>
      <c r="T191">
        <v>0.01</v>
      </c>
      <c r="U191">
        <v>2.9000000000000001E-2</v>
      </c>
      <c r="V191">
        <v>34.78</v>
      </c>
      <c r="W191">
        <v>99.971000000000004</v>
      </c>
      <c r="X191">
        <v>28791.734</v>
      </c>
      <c r="Y191">
        <v>28.93</v>
      </c>
      <c r="Z191">
        <v>35217995647</v>
      </c>
    </row>
    <row r="192" spans="1:26" hidden="1">
      <c r="A192" t="s">
        <v>46</v>
      </c>
      <c r="B192">
        <v>2022</v>
      </c>
      <c r="C192" t="s">
        <v>47</v>
      </c>
      <c r="D192" t="s">
        <v>28</v>
      </c>
      <c r="E192" t="s">
        <v>29</v>
      </c>
      <c r="F192">
        <v>7223804</v>
      </c>
      <c r="G192">
        <v>91444480945</v>
      </c>
      <c r="H192">
        <v>35.11</v>
      </c>
      <c r="I192">
        <v>35.83</v>
      </c>
      <c r="J192">
        <v>4959.991</v>
      </c>
      <c r="K192">
        <v>0.72</v>
      </c>
      <c r="L192">
        <v>2.0089999999999999</v>
      </c>
      <c r="M192">
        <v>145.596</v>
      </c>
      <c r="N192">
        <v>31.411999999999999</v>
      </c>
      <c r="O192">
        <v>20155.039000000001</v>
      </c>
      <c r="P192">
        <v>76.046999999999997</v>
      </c>
      <c r="Q192">
        <v>47.149000000000001</v>
      </c>
      <c r="R192">
        <v>603.02599999999995</v>
      </c>
      <c r="S192">
        <v>185.49299999999999</v>
      </c>
      <c r="T192">
        <v>0.01</v>
      </c>
      <c r="U192">
        <v>2.8000000000000001E-2</v>
      </c>
      <c r="V192">
        <v>35.1</v>
      </c>
      <c r="W192">
        <v>99.971999999999994</v>
      </c>
      <c r="X192">
        <v>30359.734</v>
      </c>
      <c r="Y192">
        <v>29.16</v>
      </c>
      <c r="Z192">
        <v>43246297922</v>
      </c>
    </row>
    <row r="193" spans="1:26" hidden="1">
      <c r="A193" t="s">
        <v>46</v>
      </c>
      <c r="B193">
        <v>2023</v>
      </c>
      <c r="C193" t="s">
        <v>47</v>
      </c>
      <c r="D193" t="s">
        <v>28</v>
      </c>
      <c r="E193" t="s">
        <v>29</v>
      </c>
      <c r="F193">
        <v>7305659</v>
      </c>
      <c r="G193" s="1">
        <v>100337000000</v>
      </c>
      <c r="H193">
        <v>33.75</v>
      </c>
      <c r="I193">
        <v>33.75</v>
      </c>
      <c r="J193">
        <v>4619.7070000000003</v>
      </c>
      <c r="K193">
        <v>0</v>
      </c>
      <c r="L193">
        <v>0</v>
      </c>
      <c r="M193">
        <v>148.32499999999999</v>
      </c>
      <c r="N193">
        <v>29.294</v>
      </c>
      <c r="O193">
        <v>20302.812000000002</v>
      </c>
      <c r="P193">
        <v>73.778000000000006</v>
      </c>
      <c r="Q193">
        <v>45.741999999999997</v>
      </c>
      <c r="R193">
        <v>673.74099999999999</v>
      </c>
      <c r="S193">
        <v>187.595</v>
      </c>
      <c r="T193">
        <v>0.01</v>
      </c>
      <c r="U193">
        <v>0.03</v>
      </c>
      <c r="V193">
        <v>33.74</v>
      </c>
      <c r="W193">
        <v>99.97</v>
      </c>
      <c r="X193">
        <v>29554.363000000001</v>
      </c>
      <c r="Y193">
        <v>27.85</v>
      </c>
      <c r="Z193">
        <v>44027664915</v>
      </c>
    </row>
    <row r="194" spans="1:26" hidden="1">
      <c r="A194" t="s">
        <v>48</v>
      </c>
      <c r="B194">
        <v>2000</v>
      </c>
      <c r="C194" t="s">
        <v>49</v>
      </c>
      <c r="D194" t="s">
        <v>28</v>
      </c>
      <c r="E194" t="s">
        <v>32</v>
      </c>
      <c r="F194">
        <v>28423439</v>
      </c>
      <c r="G194" s="1">
        <v>136639000000</v>
      </c>
      <c r="H194">
        <v>13.7</v>
      </c>
      <c r="I194">
        <v>16.03</v>
      </c>
      <c r="J194">
        <v>563.971</v>
      </c>
      <c r="K194">
        <v>2.33</v>
      </c>
      <c r="L194">
        <v>14.535</v>
      </c>
      <c r="M194">
        <v>0.54200000000000004</v>
      </c>
      <c r="N194">
        <v>0.442</v>
      </c>
      <c r="O194">
        <v>19.079000000000001</v>
      </c>
      <c r="P194">
        <v>0</v>
      </c>
      <c r="Q194">
        <v>0.377</v>
      </c>
      <c r="R194">
        <v>0.185</v>
      </c>
      <c r="S194">
        <v>83.483000000000004</v>
      </c>
      <c r="T194">
        <v>0.77</v>
      </c>
      <c r="U194">
        <v>5.62</v>
      </c>
      <c r="V194">
        <v>12.93</v>
      </c>
      <c r="W194">
        <v>94.38</v>
      </c>
      <c r="X194">
        <v>4132.6239999999998</v>
      </c>
      <c r="Y194">
        <v>10.4</v>
      </c>
      <c r="Z194">
        <v>43017455402</v>
      </c>
    </row>
    <row r="195" spans="1:26" hidden="1">
      <c r="A195" t="s">
        <v>48</v>
      </c>
      <c r="B195">
        <v>2001</v>
      </c>
      <c r="C195" t="s">
        <v>49</v>
      </c>
      <c r="D195" t="s">
        <v>28</v>
      </c>
      <c r="E195" t="s">
        <v>32</v>
      </c>
      <c r="F195">
        <v>28814646</v>
      </c>
      <c r="G195" s="1">
        <v>146693000000</v>
      </c>
      <c r="H195">
        <v>15.6</v>
      </c>
      <c r="I195">
        <v>17.14</v>
      </c>
      <c r="J195">
        <v>594.83600000000001</v>
      </c>
      <c r="K195">
        <v>1.54</v>
      </c>
      <c r="L195">
        <v>8.9849999999999994</v>
      </c>
      <c r="M195">
        <v>0.54200000000000004</v>
      </c>
      <c r="N195">
        <v>0.437</v>
      </c>
      <c r="O195">
        <v>18.82</v>
      </c>
      <c r="P195">
        <v>0</v>
      </c>
      <c r="Q195">
        <v>0.34499999999999997</v>
      </c>
      <c r="R195">
        <v>0.246</v>
      </c>
      <c r="S195">
        <v>83.637</v>
      </c>
      <c r="T195">
        <v>1.07</v>
      </c>
      <c r="U195">
        <v>6.859</v>
      </c>
      <c r="V195">
        <v>14.53</v>
      </c>
      <c r="W195">
        <v>93.141000000000005</v>
      </c>
      <c r="X195">
        <v>4404.2</v>
      </c>
      <c r="Y195">
        <v>12</v>
      </c>
      <c r="Z195">
        <v>43831480208</v>
      </c>
    </row>
    <row r="196" spans="1:26" hidden="1">
      <c r="A196" t="s">
        <v>48</v>
      </c>
      <c r="B196">
        <v>2002</v>
      </c>
      <c r="C196" t="s">
        <v>49</v>
      </c>
      <c r="D196" t="s">
        <v>28</v>
      </c>
      <c r="E196" t="s">
        <v>32</v>
      </c>
      <c r="F196">
        <v>29198146</v>
      </c>
      <c r="G196" s="1">
        <v>151386000000</v>
      </c>
      <c r="H196">
        <v>15.1</v>
      </c>
      <c r="I196">
        <v>16.47</v>
      </c>
      <c r="J196">
        <v>564.077</v>
      </c>
      <c r="K196">
        <v>1.37</v>
      </c>
      <c r="L196">
        <v>8.3179999999999996</v>
      </c>
      <c r="M196">
        <v>0.54200000000000004</v>
      </c>
      <c r="N196">
        <v>0.55900000000000005</v>
      </c>
      <c r="O196">
        <v>18.573</v>
      </c>
      <c r="P196">
        <v>0</v>
      </c>
      <c r="Q196">
        <v>0.43099999999999999</v>
      </c>
      <c r="R196">
        <v>0.16</v>
      </c>
      <c r="S196">
        <v>87.036000000000001</v>
      </c>
      <c r="T196">
        <v>1.03</v>
      </c>
      <c r="U196">
        <v>6.8209999999999997</v>
      </c>
      <c r="V196">
        <v>14.07</v>
      </c>
      <c r="W196">
        <v>93.179000000000002</v>
      </c>
      <c r="X196">
        <v>4455.4880000000003</v>
      </c>
      <c r="Y196">
        <v>11.56</v>
      </c>
      <c r="Z196">
        <v>47077192188</v>
      </c>
    </row>
    <row r="197" spans="1:26" hidden="1">
      <c r="A197" t="s">
        <v>48</v>
      </c>
      <c r="B197">
        <v>2003</v>
      </c>
      <c r="C197" t="s">
        <v>49</v>
      </c>
      <c r="D197" t="s">
        <v>28</v>
      </c>
      <c r="E197" t="s">
        <v>32</v>
      </c>
      <c r="F197">
        <v>29571415</v>
      </c>
      <c r="G197" s="1">
        <v>160560000000</v>
      </c>
      <c r="H197">
        <v>16.34</v>
      </c>
      <c r="I197">
        <v>17.760000000000002</v>
      </c>
      <c r="J197">
        <v>600.58000000000004</v>
      </c>
      <c r="K197">
        <v>1.42</v>
      </c>
      <c r="L197">
        <v>7.9950000000000001</v>
      </c>
      <c r="M197">
        <v>0.54200000000000004</v>
      </c>
      <c r="N197">
        <v>0.53600000000000003</v>
      </c>
      <c r="O197">
        <v>18.338000000000001</v>
      </c>
      <c r="P197">
        <v>0</v>
      </c>
      <c r="Q197">
        <v>0.41199999999999998</v>
      </c>
      <c r="R197">
        <v>0.123</v>
      </c>
      <c r="S197">
        <v>87.084000000000003</v>
      </c>
      <c r="T197">
        <v>1.64</v>
      </c>
      <c r="U197">
        <v>10.037000000000001</v>
      </c>
      <c r="V197">
        <v>14.7</v>
      </c>
      <c r="W197">
        <v>89.962999999999994</v>
      </c>
      <c r="X197">
        <v>4411.3599999999997</v>
      </c>
      <c r="Y197">
        <v>12.01</v>
      </c>
      <c r="Z197">
        <v>58029363354</v>
      </c>
    </row>
    <row r="198" spans="1:26" hidden="1">
      <c r="A198" t="s">
        <v>48</v>
      </c>
      <c r="B198">
        <v>2004</v>
      </c>
      <c r="C198" t="s">
        <v>49</v>
      </c>
      <c r="D198" t="s">
        <v>28</v>
      </c>
      <c r="E198" t="s">
        <v>32</v>
      </c>
      <c r="F198">
        <v>29953021</v>
      </c>
      <c r="G198" s="1">
        <v>168467000000</v>
      </c>
      <c r="H198">
        <v>17.47</v>
      </c>
      <c r="I198">
        <v>19</v>
      </c>
      <c r="J198">
        <v>634.327</v>
      </c>
      <c r="K198">
        <v>1.53</v>
      </c>
      <c r="L198">
        <v>8.0530000000000008</v>
      </c>
      <c r="M198">
        <v>0.434</v>
      </c>
      <c r="N198">
        <v>0.68799999999999994</v>
      </c>
      <c r="O198">
        <v>14.484</v>
      </c>
      <c r="P198">
        <v>0.68700000000000006</v>
      </c>
      <c r="Q198">
        <v>0.46400000000000002</v>
      </c>
      <c r="R198">
        <v>0.123</v>
      </c>
      <c r="S198">
        <v>100.616</v>
      </c>
      <c r="T198">
        <v>1.79</v>
      </c>
      <c r="U198">
        <v>10.246</v>
      </c>
      <c r="V198">
        <v>15.68</v>
      </c>
      <c r="W198">
        <v>89.754000000000005</v>
      </c>
      <c r="X198">
        <v>4959.8680000000004</v>
      </c>
      <c r="Y198">
        <v>12.8</v>
      </c>
      <c r="Z198">
        <v>66114145451</v>
      </c>
    </row>
    <row r="199" spans="1:26" hidden="1">
      <c r="A199" t="s">
        <v>48</v>
      </c>
      <c r="B199">
        <v>2005</v>
      </c>
      <c r="C199" t="s">
        <v>49</v>
      </c>
      <c r="D199" t="s">
        <v>28</v>
      </c>
      <c r="E199" t="s">
        <v>32</v>
      </c>
      <c r="F199">
        <v>30358145</v>
      </c>
      <c r="G199" s="1">
        <v>174391000000</v>
      </c>
      <c r="H199">
        <v>19.260000000000002</v>
      </c>
      <c r="I199">
        <v>20.07</v>
      </c>
      <c r="J199">
        <v>661.10799999999995</v>
      </c>
      <c r="K199">
        <v>0.81</v>
      </c>
      <c r="L199">
        <v>4.0359999999999996</v>
      </c>
      <c r="M199">
        <v>0.495</v>
      </c>
      <c r="N199">
        <v>4.4989999999999997</v>
      </c>
      <c r="O199">
        <v>16.32</v>
      </c>
      <c r="P199">
        <v>10.125</v>
      </c>
      <c r="Q199">
        <v>2.7919999999999998</v>
      </c>
      <c r="R199">
        <v>8.5999999999999993E-2</v>
      </c>
      <c r="S199">
        <v>109.334</v>
      </c>
      <c r="T199">
        <v>1.64</v>
      </c>
      <c r="U199">
        <v>8.5150000000000006</v>
      </c>
      <c r="V199">
        <v>17.62</v>
      </c>
      <c r="W199">
        <v>91.484999999999999</v>
      </c>
      <c r="X199">
        <v>5314.3540000000003</v>
      </c>
      <c r="Y199">
        <v>13.81</v>
      </c>
      <c r="Z199">
        <v>68852658069</v>
      </c>
    </row>
    <row r="200" spans="1:26" hidden="1">
      <c r="A200" t="s">
        <v>48</v>
      </c>
      <c r="B200">
        <v>2006</v>
      </c>
      <c r="C200" t="s">
        <v>49</v>
      </c>
      <c r="D200" t="s">
        <v>28</v>
      </c>
      <c r="E200" t="s">
        <v>32</v>
      </c>
      <c r="F200">
        <v>30771179</v>
      </c>
      <c r="G200" s="1">
        <v>188101000000</v>
      </c>
      <c r="H200">
        <v>19.87</v>
      </c>
      <c r="I200">
        <v>21.9</v>
      </c>
      <c r="J200">
        <v>711.70500000000004</v>
      </c>
      <c r="K200">
        <v>2.0299999999999998</v>
      </c>
      <c r="L200">
        <v>9.2690000000000001</v>
      </c>
      <c r="M200">
        <v>0.72299999999999998</v>
      </c>
      <c r="N200">
        <v>5.5830000000000002</v>
      </c>
      <c r="O200">
        <v>23.491</v>
      </c>
      <c r="P200">
        <v>12.228999999999999</v>
      </c>
      <c r="Q200">
        <v>3.3940000000000001</v>
      </c>
      <c r="R200">
        <v>0.123</v>
      </c>
      <c r="S200">
        <v>110.873</v>
      </c>
      <c r="T200">
        <v>1.78</v>
      </c>
      <c r="U200">
        <v>8.9580000000000002</v>
      </c>
      <c r="V200">
        <v>18.09</v>
      </c>
      <c r="W200">
        <v>91.042000000000002</v>
      </c>
      <c r="X200">
        <v>5351.2659999999996</v>
      </c>
      <c r="Y200">
        <v>14.08</v>
      </c>
      <c r="Z200">
        <v>75883823301</v>
      </c>
    </row>
    <row r="201" spans="1:26" hidden="1">
      <c r="A201" t="s">
        <v>48</v>
      </c>
      <c r="B201">
        <v>2007</v>
      </c>
      <c r="C201" t="s">
        <v>49</v>
      </c>
      <c r="D201" t="s">
        <v>28</v>
      </c>
      <c r="E201" t="s">
        <v>32</v>
      </c>
      <c r="F201">
        <v>31186468</v>
      </c>
      <c r="G201" s="1">
        <v>195287000000</v>
      </c>
      <c r="H201">
        <v>19.690000000000001</v>
      </c>
      <c r="I201">
        <v>23.2</v>
      </c>
      <c r="J201">
        <v>743.91200000000003</v>
      </c>
      <c r="K201">
        <v>3.51</v>
      </c>
      <c r="L201">
        <v>15.129</v>
      </c>
      <c r="M201">
        <v>0.69299999999999995</v>
      </c>
      <c r="N201">
        <v>6.298</v>
      </c>
      <c r="O201">
        <v>22.233000000000001</v>
      </c>
      <c r="P201">
        <v>13.865</v>
      </c>
      <c r="Q201">
        <v>3.863</v>
      </c>
      <c r="R201">
        <v>0.13500000000000001</v>
      </c>
      <c r="S201">
        <v>115.995</v>
      </c>
      <c r="T201">
        <v>1.61</v>
      </c>
      <c r="U201">
        <v>8.1769999999999996</v>
      </c>
      <c r="V201">
        <v>18.079999999999998</v>
      </c>
      <c r="W201">
        <v>91.822999999999993</v>
      </c>
      <c r="X201">
        <v>5233.9480000000003</v>
      </c>
      <c r="Y201">
        <v>13.93</v>
      </c>
      <c r="Z201">
        <v>86947913287</v>
      </c>
    </row>
    <row r="202" spans="1:26" hidden="1">
      <c r="A202" t="s">
        <v>48</v>
      </c>
      <c r="B202">
        <v>2008</v>
      </c>
      <c r="C202" t="s">
        <v>49</v>
      </c>
      <c r="D202" t="s">
        <v>28</v>
      </c>
      <c r="E202" t="s">
        <v>32</v>
      </c>
      <c r="F202">
        <v>31606769</v>
      </c>
      <c r="G202" s="1">
        <v>207385000000</v>
      </c>
      <c r="H202">
        <v>20.350000000000001</v>
      </c>
      <c r="I202">
        <v>24.61</v>
      </c>
      <c r="J202">
        <v>778.63099999999997</v>
      </c>
      <c r="K202">
        <v>4.26</v>
      </c>
      <c r="L202">
        <v>17.309999999999999</v>
      </c>
      <c r="M202">
        <v>0.66200000000000003</v>
      </c>
      <c r="N202">
        <v>6.2190000000000003</v>
      </c>
      <c r="O202">
        <v>20.943000000000001</v>
      </c>
      <c r="P202">
        <v>13.612</v>
      </c>
      <c r="Q202">
        <v>3.4569999999999999</v>
      </c>
      <c r="R202">
        <v>0.111</v>
      </c>
      <c r="S202">
        <v>127.884</v>
      </c>
      <c r="T202">
        <v>1.67</v>
      </c>
      <c r="U202">
        <v>8.2059999999999995</v>
      </c>
      <c r="V202">
        <v>18.68</v>
      </c>
      <c r="W202">
        <v>91.793999999999997</v>
      </c>
      <c r="X202">
        <v>5699.1210000000001</v>
      </c>
      <c r="Y202">
        <v>14.16</v>
      </c>
      <c r="Z202" s="1">
        <v>101823000000</v>
      </c>
    </row>
    <row r="203" spans="1:26" hidden="1">
      <c r="A203" t="s">
        <v>48</v>
      </c>
      <c r="B203">
        <v>2009</v>
      </c>
      <c r="C203" t="s">
        <v>49</v>
      </c>
      <c r="D203" t="s">
        <v>28</v>
      </c>
      <c r="E203" t="s">
        <v>32</v>
      </c>
      <c r="F203">
        <v>32030779</v>
      </c>
      <c r="G203" s="1">
        <v>216763000000</v>
      </c>
      <c r="H203">
        <v>20.93</v>
      </c>
      <c r="I203">
        <v>25.55</v>
      </c>
      <c r="J203">
        <v>797.67</v>
      </c>
      <c r="K203">
        <v>4.62</v>
      </c>
      <c r="L203">
        <v>18.082000000000001</v>
      </c>
      <c r="M203">
        <v>0.66200000000000003</v>
      </c>
      <c r="N203">
        <v>6.8319999999999999</v>
      </c>
      <c r="O203">
        <v>20.666</v>
      </c>
      <c r="P203">
        <v>14.095000000000001</v>
      </c>
      <c r="Q203">
        <v>3.8969999999999998</v>
      </c>
      <c r="R203">
        <v>9.8000000000000004E-2</v>
      </c>
      <c r="S203">
        <v>129.22300000000001</v>
      </c>
      <c r="T203">
        <v>3.34</v>
      </c>
      <c r="U203">
        <v>15.958</v>
      </c>
      <c r="V203">
        <v>17.59</v>
      </c>
      <c r="W203">
        <v>84.042000000000002</v>
      </c>
      <c r="X203">
        <v>5488.1490000000003</v>
      </c>
      <c r="Y203">
        <v>13.3</v>
      </c>
      <c r="Z203" s="1">
        <v>101155000000</v>
      </c>
    </row>
    <row r="204" spans="1:26" hidden="1">
      <c r="A204" t="s">
        <v>48</v>
      </c>
      <c r="B204">
        <v>2010</v>
      </c>
      <c r="C204" t="s">
        <v>49</v>
      </c>
      <c r="D204" t="s">
        <v>28</v>
      </c>
      <c r="E204" t="s">
        <v>32</v>
      </c>
      <c r="F204">
        <v>32467009</v>
      </c>
      <c r="G204" s="1">
        <v>225644000000</v>
      </c>
      <c r="H204">
        <v>22.85</v>
      </c>
      <c r="I204">
        <v>26.79</v>
      </c>
      <c r="J204">
        <v>825.14499999999998</v>
      </c>
      <c r="K204">
        <v>3.94</v>
      </c>
      <c r="L204">
        <v>14.707000000000001</v>
      </c>
      <c r="M204">
        <v>0.751</v>
      </c>
      <c r="N204">
        <v>7.3789999999999996</v>
      </c>
      <c r="O204">
        <v>23.116</v>
      </c>
      <c r="P204">
        <v>12.298</v>
      </c>
      <c r="Q204">
        <v>3.7989999999999999</v>
      </c>
      <c r="R204">
        <v>0.123</v>
      </c>
      <c r="S204">
        <v>143.708</v>
      </c>
      <c r="T204">
        <v>4.29</v>
      </c>
      <c r="U204">
        <v>18.774999999999999</v>
      </c>
      <c r="V204">
        <v>18.559999999999999</v>
      </c>
      <c r="W204">
        <v>81.224999999999994</v>
      </c>
      <c r="X204">
        <v>6004.7529999999997</v>
      </c>
      <c r="Y204">
        <v>13.95</v>
      </c>
      <c r="Z204" s="1">
        <v>100865000000</v>
      </c>
    </row>
    <row r="205" spans="1:26" hidden="1">
      <c r="A205" t="s">
        <v>48</v>
      </c>
      <c r="B205">
        <v>2011</v>
      </c>
      <c r="C205" t="s">
        <v>49</v>
      </c>
      <c r="D205" t="s">
        <v>28</v>
      </c>
      <c r="E205" t="s">
        <v>32</v>
      </c>
      <c r="F205">
        <v>32912585</v>
      </c>
      <c r="G205" s="1">
        <v>238103000000</v>
      </c>
      <c r="H205">
        <v>24.36</v>
      </c>
      <c r="I205">
        <v>28.97</v>
      </c>
      <c r="J205">
        <v>880.21</v>
      </c>
      <c r="K205">
        <v>4.6100000000000003</v>
      </c>
      <c r="L205">
        <v>15.913</v>
      </c>
      <c r="M205">
        <v>0.64300000000000002</v>
      </c>
      <c r="N205">
        <v>9.34</v>
      </c>
      <c r="O205">
        <v>19.545999999999999</v>
      </c>
      <c r="P205">
        <v>16.050999999999998</v>
      </c>
      <c r="Q205">
        <v>4.5720000000000001</v>
      </c>
      <c r="R205">
        <v>0.123</v>
      </c>
      <c r="S205">
        <v>153.339</v>
      </c>
      <c r="T205">
        <v>2.83</v>
      </c>
      <c r="U205">
        <v>11.617000000000001</v>
      </c>
      <c r="V205">
        <v>21.53</v>
      </c>
      <c r="W205">
        <v>88.382999999999996</v>
      </c>
      <c r="X205">
        <v>6220.9480000000003</v>
      </c>
      <c r="Y205">
        <v>15.9</v>
      </c>
      <c r="Z205" s="1">
        <v>110081000000</v>
      </c>
    </row>
    <row r="206" spans="1:26" hidden="1">
      <c r="A206" t="s">
        <v>48</v>
      </c>
      <c r="B206">
        <v>2012</v>
      </c>
      <c r="C206" t="s">
        <v>49</v>
      </c>
      <c r="D206" t="s">
        <v>28</v>
      </c>
      <c r="E206" t="s">
        <v>32</v>
      </c>
      <c r="F206">
        <v>33355246</v>
      </c>
      <c r="G206" s="1">
        <v>245270000000</v>
      </c>
      <c r="H206">
        <v>26.51</v>
      </c>
      <c r="I206">
        <v>31.35</v>
      </c>
      <c r="J206">
        <v>939.88199999999995</v>
      </c>
      <c r="K206">
        <v>4.84</v>
      </c>
      <c r="L206">
        <v>15.439</v>
      </c>
      <c r="M206">
        <v>0.84699999999999998</v>
      </c>
      <c r="N206">
        <v>12.492000000000001</v>
      </c>
      <c r="O206">
        <v>25.393000000000001</v>
      </c>
      <c r="P206">
        <v>22.443999999999999</v>
      </c>
      <c r="Q206">
        <v>6.0049999999999999</v>
      </c>
      <c r="R206">
        <v>8.5999999999999993E-2</v>
      </c>
      <c r="S206">
        <v>154.291</v>
      </c>
      <c r="T206">
        <v>2.5499999999999998</v>
      </c>
      <c r="U206">
        <v>9.6189999999999998</v>
      </c>
      <c r="V206">
        <v>23.96</v>
      </c>
      <c r="W206">
        <v>90.381</v>
      </c>
      <c r="X206">
        <v>6248.5469999999996</v>
      </c>
      <c r="Y206">
        <v>17.190000000000001</v>
      </c>
      <c r="Z206" s="1">
        <v>106937000000</v>
      </c>
    </row>
    <row r="207" spans="1:26" hidden="1">
      <c r="A207" t="s">
        <v>48</v>
      </c>
      <c r="B207">
        <v>2013</v>
      </c>
      <c r="C207" t="s">
        <v>49</v>
      </c>
      <c r="D207" t="s">
        <v>28</v>
      </c>
      <c r="E207" t="s">
        <v>32</v>
      </c>
      <c r="F207">
        <v>33787573</v>
      </c>
      <c r="G207" s="1">
        <v>256393000000</v>
      </c>
      <c r="H207">
        <v>26.94</v>
      </c>
      <c r="I207">
        <v>32.340000000000003</v>
      </c>
      <c r="J207">
        <v>957.15700000000004</v>
      </c>
      <c r="K207">
        <v>5.4</v>
      </c>
      <c r="L207">
        <v>16.698</v>
      </c>
      <c r="M207">
        <v>1.04</v>
      </c>
      <c r="N207">
        <v>12.112</v>
      </c>
      <c r="O207">
        <v>30.78</v>
      </c>
      <c r="P207">
        <v>21.603999999999999</v>
      </c>
      <c r="Q207">
        <v>5.6779999999999999</v>
      </c>
      <c r="R207">
        <v>9.8000000000000004E-2</v>
      </c>
      <c r="S207">
        <v>156.06299999999999</v>
      </c>
      <c r="T207">
        <v>4.3499999999999996</v>
      </c>
      <c r="U207">
        <v>16.146999999999998</v>
      </c>
      <c r="V207">
        <v>22.59</v>
      </c>
      <c r="W207">
        <v>83.852999999999994</v>
      </c>
      <c r="X207">
        <v>6333.0730000000003</v>
      </c>
      <c r="Y207">
        <v>16.5</v>
      </c>
      <c r="Z207" s="1">
        <v>115739000000</v>
      </c>
    </row>
    <row r="208" spans="1:26" hidden="1">
      <c r="A208" t="s">
        <v>48</v>
      </c>
      <c r="B208">
        <v>2014</v>
      </c>
      <c r="C208" t="s">
        <v>49</v>
      </c>
      <c r="D208" t="s">
        <v>28</v>
      </c>
      <c r="E208" t="s">
        <v>32</v>
      </c>
      <c r="F208">
        <v>34204784</v>
      </c>
      <c r="G208" s="1">
        <v>263252000000</v>
      </c>
      <c r="H208">
        <v>28.08</v>
      </c>
      <c r="I208">
        <v>34.090000000000003</v>
      </c>
      <c r="J208">
        <v>996.64400000000001</v>
      </c>
      <c r="K208">
        <v>6.01</v>
      </c>
      <c r="L208">
        <v>17.63</v>
      </c>
      <c r="M208">
        <v>1.04</v>
      </c>
      <c r="N208">
        <v>11.739000000000001</v>
      </c>
      <c r="O208">
        <v>30.405000000000001</v>
      </c>
      <c r="P208">
        <v>19.943000000000001</v>
      </c>
      <c r="Q208">
        <v>5.4240000000000004</v>
      </c>
      <c r="R208">
        <v>9.8000000000000004E-2</v>
      </c>
      <c r="S208">
        <v>148.685</v>
      </c>
      <c r="T208">
        <v>3.96</v>
      </c>
      <c r="U208">
        <v>14.103</v>
      </c>
      <c r="V208">
        <v>24.12</v>
      </c>
      <c r="W208">
        <v>85.897000000000006</v>
      </c>
      <c r="X208">
        <v>6344.875</v>
      </c>
      <c r="Y208">
        <v>18.29</v>
      </c>
      <c r="Z208" s="1">
        <v>119131000000</v>
      </c>
    </row>
    <row r="209" spans="1:26" hidden="1">
      <c r="A209" t="s">
        <v>48</v>
      </c>
      <c r="B209">
        <v>2015</v>
      </c>
      <c r="C209" t="s">
        <v>49</v>
      </c>
      <c r="D209" t="s">
        <v>28</v>
      </c>
      <c r="E209" t="s">
        <v>32</v>
      </c>
      <c r="F209">
        <v>34607590</v>
      </c>
      <c r="G209" s="1">
        <v>274690000000</v>
      </c>
      <c r="H209">
        <v>29.91</v>
      </c>
      <c r="I209">
        <v>34.880000000000003</v>
      </c>
      <c r="J209">
        <v>1007.871</v>
      </c>
      <c r="K209">
        <v>4.97</v>
      </c>
      <c r="L209">
        <v>14.249000000000001</v>
      </c>
      <c r="M209">
        <v>1.008</v>
      </c>
      <c r="N209">
        <v>11.771000000000001</v>
      </c>
      <c r="O209">
        <v>29.122</v>
      </c>
      <c r="P209">
        <v>19.324999999999999</v>
      </c>
      <c r="Q209">
        <v>5.3470000000000004</v>
      </c>
      <c r="R209">
        <v>9.8000000000000004E-2</v>
      </c>
      <c r="S209">
        <v>145.51499999999999</v>
      </c>
      <c r="T209">
        <v>4.8099999999999996</v>
      </c>
      <c r="U209">
        <v>16.082000000000001</v>
      </c>
      <c r="V209">
        <v>25.1</v>
      </c>
      <c r="W209">
        <v>83.918000000000006</v>
      </c>
      <c r="X209">
        <v>6381.8019999999997</v>
      </c>
      <c r="Y209">
        <v>19.14</v>
      </c>
      <c r="Z209" s="1">
        <v>110414000000</v>
      </c>
    </row>
    <row r="210" spans="1:26" hidden="1">
      <c r="A210" t="s">
        <v>48</v>
      </c>
      <c r="B210">
        <v>2016</v>
      </c>
      <c r="C210" t="s">
        <v>49</v>
      </c>
      <c r="D210" t="s">
        <v>28</v>
      </c>
      <c r="E210" t="s">
        <v>32</v>
      </c>
      <c r="F210">
        <v>35023459</v>
      </c>
      <c r="G210" s="1">
        <v>276121000000</v>
      </c>
      <c r="H210">
        <v>30.87</v>
      </c>
      <c r="I210">
        <v>36.020000000000003</v>
      </c>
      <c r="J210">
        <v>1028.453</v>
      </c>
      <c r="K210">
        <v>5.15</v>
      </c>
      <c r="L210">
        <v>14.298</v>
      </c>
      <c r="M210">
        <v>0.92200000000000004</v>
      </c>
      <c r="N210">
        <v>11.976000000000001</v>
      </c>
      <c r="O210">
        <v>26.327000000000002</v>
      </c>
      <c r="P210">
        <v>19.145</v>
      </c>
      <c r="Q210">
        <v>5.3810000000000002</v>
      </c>
      <c r="R210">
        <v>9.9000000000000005E-2</v>
      </c>
      <c r="S210">
        <v>149.065</v>
      </c>
      <c r="T210">
        <v>5.09</v>
      </c>
      <c r="U210">
        <v>16.489000000000001</v>
      </c>
      <c r="V210">
        <v>25.78</v>
      </c>
      <c r="W210">
        <v>83.510999999999996</v>
      </c>
      <c r="X210">
        <v>6376.4179999999997</v>
      </c>
      <c r="Y210">
        <v>19.559999999999999</v>
      </c>
      <c r="Z210" s="1">
        <v>111573000000</v>
      </c>
    </row>
    <row r="211" spans="1:26" hidden="1">
      <c r="A211" t="s">
        <v>48</v>
      </c>
      <c r="B211">
        <v>2017</v>
      </c>
      <c r="C211" t="s">
        <v>49</v>
      </c>
      <c r="D211" t="s">
        <v>28</v>
      </c>
      <c r="E211" t="s">
        <v>32</v>
      </c>
      <c r="F211">
        <v>35446395</v>
      </c>
      <c r="G211" s="1">
        <v>290087000000</v>
      </c>
      <c r="H211">
        <v>31.94</v>
      </c>
      <c r="I211">
        <v>37.840000000000003</v>
      </c>
      <c r="J211">
        <v>1067.527</v>
      </c>
      <c r="K211">
        <v>5.9</v>
      </c>
      <c r="L211">
        <v>15.592000000000001</v>
      </c>
      <c r="M211">
        <v>0.99099999999999999</v>
      </c>
      <c r="N211">
        <v>11.881</v>
      </c>
      <c r="O211">
        <v>27.957999999999998</v>
      </c>
      <c r="P211">
        <v>18.283999999999999</v>
      </c>
      <c r="Q211">
        <v>5.0979999999999999</v>
      </c>
      <c r="R211">
        <v>9.5000000000000001E-2</v>
      </c>
      <c r="S211">
        <v>157.804</v>
      </c>
      <c r="T211">
        <v>5.0599999999999996</v>
      </c>
      <c r="U211">
        <v>15.842000000000001</v>
      </c>
      <c r="V211">
        <v>26.88</v>
      </c>
      <c r="W211">
        <v>84.158000000000001</v>
      </c>
      <c r="X211">
        <v>6595.8959999999997</v>
      </c>
      <c r="Y211">
        <v>20.36</v>
      </c>
      <c r="Z211" s="1">
        <v>118541000000</v>
      </c>
    </row>
    <row r="212" spans="1:26" hidden="1">
      <c r="A212" t="s">
        <v>48</v>
      </c>
      <c r="B212">
        <v>2018</v>
      </c>
      <c r="C212" t="s">
        <v>49</v>
      </c>
      <c r="D212" t="s">
        <v>28</v>
      </c>
      <c r="E212" t="s">
        <v>32</v>
      </c>
      <c r="F212">
        <v>35839760</v>
      </c>
      <c r="G212" s="1">
        <v>298981000000</v>
      </c>
      <c r="H212">
        <v>34.56</v>
      </c>
      <c r="I212">
        <v>37.93</v>
      </c>
      <c r="J212">
        <v>1058.3219999999999</v>
      </c>
      <c r="K212">
        <v>3.37</v>
      </c>
      <c r="L212">
        <v>8.8849999999999998</v>
      </c>
      <c r="M212">
        <v>1.0649999999999999</v>
      </c>
      <c r="N212">
        <v>10.715</v>
      </c>
      <c r="O212">
        <v>29.716000000000001</v>
      </c>
      <c r="P212">
        <v>15.045999999999999</v>
      </c>
      <c r="Q212">
        <v>4.45</v>
      </c>
      <c r="R212">
        <v>9.0999999999999998E-2</v>
      </c>
      <c r="S212">
        <v>154.05099999999999</v>
      </c>
      <c r="T212">
        <v>6.85</v>
      </c>
      <c r="U212">
        <v>19.821000000000002</v>
      </c>
      <c r="V212">
        <v>27.71</v>
      </c>
      <c r="W212">
        <v>80.179000000000002</v>
      </c>
      <c r="X212">
        <v>6747.0870000000004</v>
      </c>
      <c r="Y212">
        <v>21.48</v>
      </c>
      <c r="Z212" s="1">
        <v>127341000000</v>
      </c>
    </row>
    <row r="213" spans="1:26" hidden="1">
      <c r="A213" t="s">
        <v>48</v>
      </c>
      <c r="B213">
        <v>2019</v>
      </c>
      <c r="C213" t="s">
        <v>49</v>
      </c>
      <c r="D213" t="s">
        <v>28</v>
      </c>
      <c r="E213" t="s">
        <v>32</v>
      </c>
      <c r="F213">
        <v>36210907</v>
      </c>
      <c r="G213" s="1">
        <v>307625000000</v>
      </c>
      <c r="H213">
        <v>40.380000000000003</v>
      </c>
      <c r="I213">
        <v>39.450000000000003</v>
      </c>
      <c r="J213">
        <v>1089.451</v>
      </c>
      <c r="K213">
        <v>-0.93</v>
      </c>
      <c r="L213">
        <v>-2.3570000000000002</v>
      </c>
      <c r="M213">
        <v>1.145</v>
      </c>
      <c r="N213">
        <v>10.127000000000001</v>
      </c>
      <c r="O213">
        <v>31.62</v>
      </c>
      <c r="P213">
        <v>11.638999999999999</v>
      </c>
      <c r="Q213">
        <v>3.8559999999999999</v>
      </c>
      <c r="R213">
        <v>8.6999999999999994E-2</v>
      </c>
      <c r="S213">
        <v>156.34200000000001</v>
      </c>
      <c r="T213">
        <v>7.99</v>
      </c>
      <c r="U213">
        <v>19.786999999999999</v>
      </c>
      <c r="V213">
        <v>32.39</v>
      </c>
      <c r="W213">
        <v>80.212999999999994</v>
      </c>
      <c r="X213">
        <v>7286.2290000000003</v>
      </c>
      <c r="Y213">
        <v>25.51</v>
      </c>
      <c r="Z213" s="1">
        <v>128920000000</v>
      </c>
    </row>
    <row r="214" spans="1:26" hidden="1">
      <c r="A214" t="s">
        <v>48</v>
      </c>
      <c r="B214">
        <v>2020</v>
      </c>
      <c r="C214" t="s">
        <v>49</v>
      </c>
      <c r="D214" t="s">
        <v>28</v>
      </c>
      <c r="E214" t="s">
        <v>32</v>
      </c>
      <c r="F214">
        <v>36584208</v>
      </c>
      <c r="G214" s="1">
        <v>285516000000</v>
      </c>
      <c r="H214">
        <v>38.799999999999997</v>
      </c>
      <c r="I214">
        <v>39.03</v>
      </c>
      <c r="J214">
        <v>1066.854</v>
      </c>
      <c r="K214">
        <v>0.23</v>
      </c>
      <c r="L214">
        <v>0.58899999999999997</v>
      </c>
      <c r="M214">
        <v>1.23</v>
      </c>
      <c r="N214">
        <v>7.867</v>
      </c>
      <c r="O214">
        <v>33.621000000000002</v>
      </c>
      <c r="P214">
        <v>8.9179999999999993</v>
      </c>
      <c r="Q214">
        <v>3.26</v>
      </c>
      <c r="R214">
        <v>8.3000000000000004E-2</v>
      </c>
      <c r="S214">
        <v>136.38</v>
      </c>
      <c r="T214">
        <v>7.44</v>
      </c>
      <c r="U214">
        <v>19.175000000000001</v>
      </c>
      <c r="V214">
        <v>31.36</v>
      </c>
      <c r="W214">
        <v>80.825000000000003</v>
      </c>
      <c r="X214">
        <v>6625.93</v>
      </c>
      <c r="Y214">
        <v>25.05</v>
      </c>
      <c r="Z214" s="1">
        <v>121354000000</v>
      </c>
    </row>
    <row r="215" spans="1:26" hidden="1">
      <c r="A215" t="s">
        <v>48</v>
      </c>
      <c r="B215">
        <v>2021</v>
      </c>
      <c r="C215" t="s">
        <v>49</v>
      </c>
      <c r="D215" t="s">
        <v>28</v>
      </c>
      <c r="E215" t="s">
        <v>32</v>
      </c>
      <c r="F215">
        <v>36954443</v>
      </c>
      <c r="G215" s="1">
        <v>308157000000</v>
      </c>
      <c r="H215">
        <v>41.3</v>
      </c>
      <c r="I215">
        <v>41.14</v>
      </c>
      <c r="J215">
        <v>1113.2629999999999</v>
      </c>
      <c r="K215">
        <v>-0.16</v>
      </c>
      <c r="L215">
        <v>-0.38900000000000001</v>
      </c>
      <c r="M215">
        <v>1.3220000000000001</v>
      </c>
      <c r="N215">
        <v>7.899</v>
      </c>
      <c r="O215">
        <v>35.774000000000001</v>
      </c>
      <c r="P215">
        <v>8.3780000000000001</v>
      </c>
      <c r="Q215">
        <v>2.9510000000000001</v>
      </c>
      <c r="R215">
        <v>0.08</v>
      </c>
      <c r="S215">
        <v>154.745</v>
      </c>
      <c r="T215">
        <v>8.18</v>
      </c>
      <c r="U215">
        <v>19.806000000000001</v>
      </c>
      <c r="V215">
        <v>33.119999999999997</v>
      </c>
      <c r="W215">
        <v>80.194000000000003</v>
      </c>
      <c r="X215">
        <v>7275.982</v>
      </c>
      <c r="Y215">
        <v>26.43</v>
      </c>
      <c r="Z215" s="1">
        <v>142022000000</v>
      </c>
    </row>
    <row r="216" spans="1:26" hidden="1">
      <c r="A216" t="s">
        <v>48</v>
      </c>
      <c r="B216">
        <v>2022</v>
      </c>
      <c r="C216" t="s">
        <v>49</v>
      </c>
      <c r="D216" t="s">
        <v>28</v>
      </c>
      <c r="E216" t="s">
        <v>32</v>
      </c>
      <c r="F216">
        <v>37329068</v>
      </c>
      <c r="G216" s="1">
        <v>311655000000</v>
      </c>
      <c r="H216">
        <v>41.41</v>
      </c>
      <c r="I216">
        <v>42.81</v>
      </c>
      <c r="J216">
        <v>1146.828</v>
      </c>
      <c r="K216">
        <v>1.4</v>
      </c>
      <c r="L216">
        <v>3.27</v>
      </c>
      <c r="M216">
        <v>1.421</v>
      </c>
      <c r="N216">
        <v>2.2269999999999999</v>
      </c>
      <c r="O216">
        <v>38.067</v>
      </c>
      <c r="P216">
        <v>1.6659999999999999</v>
      </c>
      <c r="Q216">
        <v>0.83799999999999997</v>
      </c>
      <c r="R216">
        <v>7.5999999999999998E-2</v>
      </c>
      <c r="S216">
        <v>159.524</v>
      </c>
      <c r="T216">
        <v>7.53</v>
      </c>
      <c r="U216">
        <v>18.184000000000001</v>
      </c>
      <c r="V216">
        <v>33.880000000000003</v>
      </c>
      <c r="W216">
        <v>81.816000000000003</v>
      </c>
      <c r="X216">
        <v>7146.277</v>
      </c>
      <c r="Y216">
        <v>27.44</v>
      </c>
      <c r="Z216" s="1">
        <v>131245000000</v>
      </c>
    </row>
    <row r="217" spans="1:26" hidden="1">
      <c r="A217" t="s">
        <v>48</v>
      </c>
      <c r="B217">
        <v>2023</v>
      </c>
      <c r="C217" t="s">
        <v>49</v>
      </c>
      <c r="D217" t="s">
        <v>28</v>
      </c>
      <c r="E217" t="s">
        <v>32</v>
      </c>
      <c r="F217">
        <v>37712516</v>
      </c>
      <c r="G217" s="1">
        <v>335744000000</v>
      </c>
      <c r="H217">
        <v>42.46</v>
      </c>
      <c r="I217">
        <v>44.31</v>
      </c>
      <c r="J217">
        <v>1174.942</v>
      </c>
      <c r="K217">
        <v>1.85</v>
      </c>
      <c r="L217">
        <v>4.1749999999999998</v>
      </c>
      <c r="M217">
        <v>1.5269999999999999</v>
      </c>
      <c r="N217">
        <v>8.8800000000000008</v>
      </c>
      <c r="O217">
        <v>40.491</v>
      </c>
      <c r="P217">
        <v>10.032999999999999</v>
      </c>
      <c r="Q217">
        <v>3.2919999999999998</v>
      </c>
      <c r="R217">
        <v>7.2999999999999995E-2</v>
      </c>
      <c r="S217">
        <v>158.34899999999999</v>
      </c>
      <c r="T217">
        <v>9.2200000000000006</v>
      </c>
      <c r="U217">
        <v>21.715</v>
      </c>
      <c r="V217">
        <v>33.24</v>
      </c>
      <c r="W217">
        <v>78.284999999999997</v>
      </c>
      <c r="X217">
        <v>7189.8059999999996</v>
      </c>
      <c r="Y217">
        <v>26.17</v>
      </c>
      <c r="Z217" s="1">
        <v>146036000000</v>
      </c>
    </row>
    <row r="218" spans="1:26" hidden="1">
      <c r="A218" t="s">
        <v>50</v>
      </c>
      <c r="B218">
        <v>2000</v>
      </c>
      <c r="C218" t="s">
        <v>51</v>
      </c>
      <c r="D218" t="s">
        <v>35</v>
      </c>
      <c r="E218" t="s">
        <v>32</v>
      </c>
      <c r="F218">
        <v>126382490</v>
      </c>
      <c r="G218" s="1">
        <v>268133000000</v>
      </c>
      <c r="H218">
        <v>14.74</v>
      </c>
      <c r="I218">
        <v>14.72</v>
      </c>
      <c r="J218">
        <v>116.47199999999999</v>
      </c>
      <c r="K218">
        <v>-0.02</v>
      </c>
      <c r="L218">
        <v>-0.13600000000000001</v>
      </c>
      <c r="M218">
        <v>112.045</v>
      </c>
      <c r="N218">
        <v>10.706</v>
      </c>
      <c r="O218">
        <v>886.55200000000002</v>
      </c>
      <c r="P218">
        <v>61.737000000000002</v>
      </c>
      <c r="Q218">
        <v>38.277000000000001</v>
      </c>
      <c r="R218">
        <v>1239.1559999999999</v>
      </c>
      <c r="S218">
        <v>168.08799999999999</v>
      </c>
      <c r="T218">
        <v>5.64</v>
      </c>
      <c r="U218">
        <v>38.262999999999998</v>
      </c>
      <c r="V218">
        <v>9.1</v>
      </c>
      <c r="W218">
        <v>61.737000000000002</v>
      </c>
      <c r="X218">
        <v>1704.075</v>
      </c>
      <c r="Y218">
        <v>6.07</v>
      </c>
      <c r="Z218">
        <v>69171451627</v>
      </c>
    </row>
    <row r="219" spans="1:26" hidden="1">
      <c r="A219" t="s">
        <v>50</v>
      </c>
      <c r="B219">
        <v>2001</v>
      </c>
      <c r="C219" t="s">
        <v>51</v>
      </c>
      <c r="D219" t="s">
        <v>35</v>
      </c>
      <c r="E219" t="s">
        <v>32</v>
      </c>
      <c r="F219">
        <v>129862594</v>
      </c>
      <c r="G219" s="1">
        <v>293372000000</v>
      </c>
      <c r="H219">
        <v>15.47</v>
      </c>
      <c r="I219">
        <v>15.44</v>
      </c>
      <c r="J219">
        <v>118.895</v>
      </c>
      <c r="K219">
        <v>-0.03</v>
      </c>
      <c r="L219">
        <v>-0.19400000000000001</v>
      </c>
      <c r="M219">
        <v>152.613</v>
      </c>
      <c r="N219">
        <v>11.234999999999999</v>
      </c>
      <c r="O219">
        <v>1175.192</v>
      </c>
      <c r="P219">
        <v>61.731999999999999</v>
      </c>
      <c r="Q219">
        <v>38.274000000000001</v>
      </c>
      <c r="R219">
        <v>1224.5999999999999</v>
      </c>
      <c r="S219">
        <v>172.71600000000001</v>
      </c>
      <c r="T219">
        <v>5.92</v>
      </c>
      <c r="U219">
        <v>38.268000000000001</v>
      </c>
      <c r="V219">
        <v>9.5500000000000007</v>
      </c>
      <c r="W219">
        <v>61.731999999999999</v>
      </c>
      <c r="X219">
        <v>1880.8779999999999</v>
      </c>
      <c r="Y219">
        <v>6.37</v>
      </c>
      <c r="Z219">
        <v>73557840064</v>
      </c>
    </row>
    <row r="220" spans="1:26" hidden="1">
      <c r="A220" t="s">
        <v>50</v>
      </c>
      <c r="B220">
        <v>2002</v>
      </c>
      <c r="C220" t="s">
        <v>51</v>
      </c>
      <c r="D220" t="s">
        <v>35</v>
      </c>
      <c r="E220" t="s">
        <v>32</v>
      </c>
      <c r="F220">
        <v>133471995</v>
      </c>
      <c r="G220" s="1">
        <v>344836000000</v>
      </c>
      <c r="H220">
        <v>21.55</v>
      </c>
      <c r="I220">
        <v>21.52</v>
      </c>
      <c r="J220">
        <v>161.232</v>
      </c>
      <c r="K220">
        <v>-0.03</v>
      </c>
      <c r="L220">
        <v>-0.13900000000000001</v>
      </c>
      <c r="M220">
        <v>171.404</v>
      </c>
      <c r="N220">
        <v>15.659000000000001</v>
      </c>
      <c r="O220">
        <v>1284.194</v>
      </c>
      <c r="P220">
        <v>61.762999999999998</v>
      </c>
      <c r="Q220">
        <v>38.292999999999999</v>
      </c>
      <c r="R220">
        <v>1104.9839999999999</v>
      </c>
      <c r="S220">
        <v>177.517</v>
      </c>
      <c r="T220">
        <v>8.24</v>
      </c>
      <c r="U220">
        <v>38.237000000000002</v>
      </c>
      <c r="V220">
        <v>13.31</v>
      </c>
      <c r="W220">
        <v>61.762999999999998</v>
      </c>
      <c r="X220">
        <v>1880.1869999999999</v>
      </c>
      <c r="Y220">
        <v>8.8800000000000008</v>
      </c>
      <c r="Z220">
        <v>95054059303</v>
      </c>
    </row>
    <row r="221" spans="1:26" hidden="1">
      <c r="A221" t="s">
        <v>50</v>
      </c>
      <c r="B221">
        <v>2003</v>
      </c>
      <c r="C221" t="s">
        <v>51</v>
      </c>
      <c r="D221" t="s">
        <v>35</v>
      </c>
      <c r="E221" t="s">
        <v>32</v>
      </c>
      <c r="F221">
        <v>137202646</v>
      </c>
      <c r="G221" s="1">
        <v>387284000000</v>
      </c>
      <c r="H221">
        <v>20.2</v>
      </c>
      <c r="I221">
        <v>20.16</v>
      </c>
      <c r="J221">
        <v>146.93600000000001</v>
      </c>
      <c r="K221">
        <v>-0.04</v>
      </c>
      <c r="L221">
        <v>-0.19800000000000001</v>
      </c>
      <c r="M221">
        <v>213.93899999999999</v>
      </c>
      <c r="N221">
        <v>14.988</v>
      </c>
      <c r="O221">
        <v>1559.2909999999999</v>
      </c>
      <c r="P221">
        <v>63.069000000000003</v>
      </c>
      <c r="Q221">
        <v>39.103000000000002</v>
      </c>
      <c r="R221">
        <v>1304.6279999999999</v>
      </c>
      <c r="S221">
        <v>182.47800000000001</v>
      </c>
      <c r="T221">
        <v>7.46</v>
      </c>
      <c r="U221">
        <v>36.930999999999997</v>
      </c>
      <c r="V221">
        <v>12.74</v>
      </c>
      <c r="W221">
        <v>63.069000000000003</v>
      </c>
      <c r="X221">
        <v>1946.971</v>
      </c>
      <c r="Y221">
        <v>8.49</v>
      </c>
      <c r="Z221" s="1">
        <v>104739000000</v>
      </c>
    </row>
    <row r="222" spans="1:26" hidden="1">
      <c r="A222" t="s">
        <v>50</v>
      </c>
      <c r="B222">
        <v>2004</v>
      </c>
      <c r="C222" t="s">
        <v>51</v>
      </c>
      <c r="D222" t="s">
        <v>35</v>
      </c>
      <c r="E222" t="s">
        <v>32</v>
      </c>
      <c r="F222">
        <v>141057045</v>
      </c>
      <c r="G222" s="1">
        <v>438815000000</v>
      </c>
      <c r="H222">
        <v>24.29</v>
      </c>
      <c r="I222">
        <v>24.27</v>
      </c>
      <c r="J222">
        <v>172.05799999999999</v>
      </c>
      <c r="K222">
        <v>-0.02</v>
      </c>
      <c r="L222">
        <v>-8.2000000000000003E-2</v>
      </c>
      <c r="M222">
        <v>228.94200000000001</v>
      </c>
      <c r="N222">
        <v>19.024000000000001</v>
      </c>
      <c r="O222">
        <v>1623.0450000000001</v>
      </c>
      <c r="P222">
        <v>66.570999999999998</v>
      </c>
      <c r="Q222">
        <v>41.274000000000001</v>
      </c>
      <c r="R222">
        <v>1414.9649999999999</v>
      </c>
      <c r="S222">
        <v>187.60499999999999</v>
      </c>
      <c r="T222">
        <v>8.1199999999999992</v>
      </c>
      <c r="U222">
        <v>33.429000000000002</v>
      </c>
      <c r="V222">
        <v>16.170000000000002</v>
      </c>
      <c r="W222">
        <v>66.570999999999998</v>
      </c>
      <c r="X222">
        <v>1961.0070000000001</v>
      </c>
      <c r="Y222">
        <v>10.74</v>
      </c>
      <c r="Z222" s="1">
        <v>135765000000</v>
      </c>
    </row>
    <row r="223" spans="1:26" hidden="1">
      <c r="A223" t="s">
        <v>50</v>
      </c>
      <c r="B223">
        <v>2005</v>
      </c>
      <c r="C223" t="s">
        <v>51</v>
      </c>
      <c r="D223" t="s">
        <v>35</v>
      </c>
      <c r="E223" t="s">
        <v>32</v>
      </c>
      <c r="F223">
        <v>145017256</v>
      </c>
      <c r="G223" s="1">
        <v>481798000000</v>
      </c>
      <c r="H223">
        <v>23.55</v>
      </c>
      <c r="I223">
        <v>23.55</v>
      </c>
      <c r="J223">
        <v>162.39400000000001</v>
      </c>
      <c r="K223">
        <v>0</v>
      </c>
      <c r="L223">
        <v>0</v>
      </c>
      <c r="M223">
        <v>229.84</v>
      </c>
      <c r="N223">
        <v>18.553000000000001</v>
      </c>
      <c r="O223">
        <v>1584.914</v>
      </c>
      <c r="P223">
        <v>66.963999999999999</v>
      </c>
      <c r="Q223">
        <v>41.518000000000001</v>
      </c>
      <c r="R223">
        <v>1408.903</v>
      </c>
      <c r="S223">
        <v>192.87200000000001</v>
      </c>
      <c r="T223">
        <v>7.78</v>
      </c>
      <c r="U223">
        <v>33.036000000000001</v>
      </c>
      <c r="V223">
        <v>15.77</v>
      </c>
      <c r="W223">
        <v>66.963999999999999</v>
      </c>
      <c r="X223">
        <v>2102.1790000000001</v>
      </c>
      <c r="Y223">
        <v>10.47</v>
      </c>
      <c r="Z223" s="1">
        <v>175671000000</v>
      </c>
    </row>
    <row r="224" spans="1:26" hidden="1">
      <c r="A224" t="s">
        <v>50</v>
      </c>
      <c r="B224">
        <v>2006</v>
      </c>
      <c r="C224" t="s">
        <v>51</v>
      </c>
      <c r="D224" t="s">
        <v>35</v>
      </c>
      <c r="E224" t="s">
        <v>32</v>
      </c>
      <c r="F224">
        <v>149077335</v>
      </c>
      <c r="G224" s="1">
        <v>527632000000</v>
      </c>
      <c r="H224">
        <v>23.12</v>
      </c>
      <c r="I224">
        <v>23.12</v>
      </c>
      <c r="J224">
        <v>155.08699999999999</v>
      </c>
      <c r="K224">
        <v>0</v>
      </c>
      <c r="L224">
        <v>0</v>
      </c>
      <c r="M224">
        <v>268.91500000000002</v>
      </c>
      <c r="N224">
        <v>19.824000000000002</v>
      </c>
      <c r="O224">
        <v>1803.8630000000001</v>
      </c>
      <c r="P224">
        <v>72.881</v>
      </c>
      <c r="Q224">
        <v>45.186</v>
      </c>
      <c r="R224">
        <v>1343.799</v>
      </c>
      <c r="S224">
        <v>198.27199999999999</v>
      </c>
      <c r="T224">
        <v>6.27</v>
      </c>
      <c r="U224">
        <v>27.119</v>
      </c>
      <c r="V224">
        <v>16.850000000000001</v>
      </c>
      <c r="W224">
        <v>72.881</v>
      </c>
      <c r="X224">
        <v>1838.13</v>
      </c>
      <c r="Y224">
        <v>11.14</v>
      </c>
      <c r="Z224" s="1">
        <v>238455000000</v>
      </c>
    </row>
    <row r="225" spans="1:26" hidden="1">
      <c r="A225" t="s">
        <v>50</v>
      </c>
      <c r="B225">
        <v>2007</v>
      </c>
      <c r="C225" t="s">
        <v>51</v>
      </c>
      <c r="D225" t="s">
        <v>35</v>
      </c>
      <c r="E225" t="s">
        <v>32</v>
      </c>
      <c r="F225">
        <v>153267254</v>
      </c>
      <c r="G225" s="1">
        <v>581001000000</v>
      </c>
      <c r="H225">
        <v>22.99</v>
      </c>
      <c r="I225">
        <v>22.99</v>
      </c>
      <c r="J225">
        <v>149.999</v>
      </c>
      <c r="K225">
        <v>0</v>
      </c>
      <c r="L225">
        <v>0</v>
      </c>
      <c r="M225">
        <v>336.34199999999998</v>
      </c>
      <c r="N225">
        <v>19.706</v>
      </c>
      <c r="O225">
        <v>2194.482</v>
      </c>
      <c r="P225">
        <v>72.858000000000004</v>
      </c>
      <c r="Q225">
        <v>45.171999999999997</v>
      </c>
      <c r="R225">
        <v>1246.2550000000001</v>
      </c>
      <c r="S225">
        <v>203.84399999999999</v>
      </c>
      <c r="T225">
        <v>6.24</v>
      </c>
      <c r="U225">
        <v>27.141999999999999</v>
      </c>
      <c r="V225">
        <v>16.75</v>
      </c>
      <c r="W225">
        <v>72.858000000000004</v>
      </c>
      <c r="X225">
        <v>1643.461</v>
      </c>
      <c r="Y225">
        <v>11.08</v>
      </c>
      <c r="Z225" s="1">
        <v>278261000000</v>
      </c>
    </row>
    <row r="226" spans="1:26" hidden="1">
      <c r="A226" t="s">
        <v>50</v>
      </c>
      <c r="B226">
        <v>2008</v>
      </c>
      <c r="C226" t="s">
        <v>51</v>
      </c>
      <c r="D226" t="s">
        <v>35</v>
      </c>
      <c r="E226" t="s">
        <v>32</v>
      </c>
      <c r="F226">
        <v>157595014</v>
      </c>
      <c r="G226" s="1">
        <v>638908000000</v>
      </c>
      <c r="H226">
        <v>21.12</v>
      </c>
      <c r="I226">
        <v>21.12</v>
      </c>
      <c r="J226">
        <v>134.01400000000001</v>
      </c>
      <c r="K226">
        <v>0</v>
      </c>
      <c r="L226">
        <v>0</v>
      </c>
      <c r="M226">
        <v>327.79199999999997</v>
      </c>
      <c r="N226">
        <v>18.106000000000002</v>
      </c>
      <c r="O226">
        <v>2079.9659999999999</v>
      </c>
      <c r="P226">
        <v>72.869</v>
      </c>
      <c r="Q226">
        <v>45.179000000000002</v>
      </c>
      <c r="R226">
        <v>1229.3309999999999</v>
      </c>
      <c r="S226">
        <v>209.6</v>
      </c>
      <c r="T226">
        <v>5.73</v>
      </c>
      <c r="U226">
        <v>27.131</v>
      </c>
      <c r="V226">
        <v>15.39</v>
      </c>
      <c r="W226">
        <v>72.869</v>
      </c>
      <c r="X226">
        <v>1969.0129999999999</v>
      </c>
      <c r="Y226">
        <v>10.18</v>
      </c>
      <c r="Z226" s="1">
        <v>339476000000</v>
      </c>
    </row>
    <row r="227" spans="1:26" hidden="1">
      <c r="A227" t="s">
        <v>50</v>
      </c>
      <c r="B227">
        <v>2009</v>
      </c>
      <c r="C227" t="s">
        <v>51</v>
      </c>
      <c r="D227" t="s">
        <v>35</v>
      </c>
      <c r="E227" t="s">
        <v>32</v>
      </c>
      <c r="F227">
        <v>162049466</v>
      </c>
      <c r="G227" s="1">
        <v>709931000000</v>
      </c>
      <c r="H227">
        <v>19.79</v>
      </c>
      <c r="I227">
        <v>19.79</v>
      </c>
      <c r="J227">
        <v>122.123</v>
      </c>
      <c r="K227">
        <v>0</v>
      </c>
      <c r="L227">
        <v>0</v>
      </c>
      <c r="M227">
        <v>231.91900000000001</v>
      </c>
      <c r="N227">
        <v>17.940999999999999</v>
      </c>
      <c r="O227">
        <v>1431.164</v>
      </c>
      <c r="P227">
        <v>77.058999999999997</v>
      </c>
      <c r="Q227">
        <v>47.777000000000001</v>
      </c>
      <c r="R227">
        <v>1242.6489999999999</v>
      </c>
      <c r="S227">
        <v>215.524</v>
      </c>
      <c r="T227">
        <v>4.54</v>
      </c>
      <c r="U227">
        <v>22.940999999999999</v>
      </c>
      <c r="V227">
        <v>15.25</v>
      </c>
      <c r="W227">
        <v>77.058999999999997</v>
      </c>
      <c r="X227">
        <v>1211.625</v>
      </c>
      <c r="Y227">
        <v>10.06</v>
      </c>
      <c r="Z227" s="1">
        <v>295009000000</v>
      </c>
    </row>
    <row r="228" spans="1:26" hidden="1">
      <c r="A228" t="s">
        <v>50</v>
      </c>
      <c r="B228">
        <v>2010</v>
      </c>
      <c r="C228" t="s">
        <v>51</v>
      </c>
      <c r="D228" t="s">
        <v>35</v>
      </c>
      <c r="E228" t="s">
        <v>32</v>
      </c>
      <c r="F228">
        <v>166642888</v>
      </c>
      <c r="G228" s="1">
        <v>809999000000</v>
      </c>
      <c r="H228">
        <v>26.13</v>
      </c>
      <c r="I228">
        <v>26.13</v>
      </c>
      <c r="J228">
        <v>156.80199999999999</v>
      </c>
      <c r="K228">
        <v>0</v>
      </c>
      <c r="L228">
        <v>0</v>
      </c>
      <c r="M228">
        <v>309.06700000000001</v>
      </c>
      <c r="N228">
        <v>23.234999999999999</v>
      </c>
      <c r="O228">
        <v>1854.665</v>
      </c>
      <c r="P228">
        <v>75.584000000000003</v>
      </c>
      <c r="Q228">
        <v>46.862000000000002</v>
      </c>
      <c r="R228">
        <v>1419.1030000000001</v>
      </c>
      <c r="S228">
        <v>221.63399999999999</v>
      </c>
      <c r="T228">
        <v>6.38</v>
      </c>
      <c r="U228">
        <v>24.416</v>
      </c>
      <c r="V228">
        <v>19.75</v>
      </c>
      <c r="W228">
        <v>75.584000000000003</v>
      </c>
      <c r="X228">
        <v>1445.278</v>
      </c>
      <c r="Y228">
        <v>13.04</v>
      </c>
      <c r="Z228" s="1">
        <v>366990000000</v>
      </c>
    </row>
    <row r="229" spans="1:26" hidden="1">
      <c r="A229" t="s">
        <v>50</v>
      </c>
      <c r="B229">
        <v>2011</v>
      </c>
      <c r="C229" t="s">
        <v>51</v>
      </c>
      <c r="D229" t="s">
        <v>35</v>
      </c>
      <c r="E229" t="s">
        <v>32</v>
      </c>
      <c r="F229">
        <v>171379602</v>
      </c>
      <c r="G229" s="1">
        <v>871104000000</v>
      </c>
      <c r="H229">
        <v>27.04</v>
      </c>
      <c r="I229">
        <v>27.04</v>
      </c>
      <c r="J229">
        <v>157.77799999999999</v>
      </c>
      <c r="K229">
        <v>0</v>
      </c>
      <c r="L229">
        <v>0</v>
      </c>
      <c r="M229">
        <v>364.25799999999998</v>
      </c>
      <c r="N229">
        <v>24.882000000000001</v>
      </c>
      <c r="O229">
        <v>2125.4459999999999</v>
      </c>
      <c r="P229">
        <v>78.216999999999999</v>
      </c>
      <c r="Q229">
        <v>48.494999999999997</v>
      </c>
      <c r="R229">
        <v>1376.2829999999999</v>
      </c>
      <c r="S229">
        <v>227.93299999999999</v>
      </c>
      <c r="T229">
        <v>5.89</v>
      </c>
      <c r="U229">
        <v>21.783000000000001</v>
      </c>
      <c r="V229">
        <v>21.15</v>
      </c>
      <c r="W229">
        <v>78.216999999999999</v>
      </c>
      <c r="X229">
        <v>2022.9469999999999</v>
      </c>
      <c r="Y229">
        <v>13.94</v>
      </c>
      <c r="Z229" s="1">
        <v>414467000000</v>
      </c>
    </row>
    <row r="230" spans="1:26" hidden="1">
      <c r="A230" t="s">
        <v>50</v>
      </c>
      <c r="B230">
        <v>2012</v>
      </c>
      <c r="C230" t="s">
        <v>51</v>
      </c>
      <c r="D230" t="s">
        <v>35</v>
      </c>
      <c r="E230" t="s">
        <v>32</v>
      </c>
      <c r="F230">
        <v>176200627</v>
      </c>
      <c r="G230" s="1">
        <v>908381000000</v>
      </c>
      <c r="H230">
        <v>28.74</v>
      </c>
      <c r="I230">
        <v>28.74</v>
      </c>
      <c r="J230">
        <v>163.11000000000001</v>
      </c>
      <c r="K230">
        <v>0</v>
      </c>
      <c r="L230">
        <v>0</v>
      </c>
      <c r="M230">
        <v>391.60300000000001</v>
      </c>
      <c r="N230">
        <v>27.117999999999999</v>
      </c>
      <c r="O230">
        <v>2222.4839999999999</v>
      </c>
      <c r="P230">
        <v>80.201999999999998</v>
      </c>
      <c r="Q230">
        <v>49.725000000000001</v>
      </c>
      <c r="R230">
        <v>1353.3620000000001</v>
      </c>
      <c r="S230">
        <v>234.345</v>
      </c>
      <c r="T230">
        <v>5.69</v>
      </c>
      <c r="U230">
        <v>19.797999999999998</v>
      </c>
      <c r="V230">
        <v>23.05</v>
      </c>
      <c r="W230">
        <v>80.201999999999998</v>
      </c>
      <c r="X230">
        <v>1987.3389999999999</v>
      </c>
      <c r="Y230">
        <v>15.17</v>
      </c>
      <c r="Z230" s="1">
        <v>463971000000</v>
      </c>
    </row>
    <row r="231" spans="1:26" hidden="1">
      <c r="A231" t="s">
        <v>50</v>
      </c>
      <c r="B231">
        <v>2013</v>
      </c>
      <c r="C231" t="s">
        <v>51</v>
      </c>
      <c r="D231" t="s">
        <v>35</v>
      </c>
      <c r="E231" t="s">
        <v>32</v>
      </c>
      <c r="F231">
        <v>181049440</v>
      </c>
      <c r="G231" s="1">
        <v>957383000000</v>
      </c>
      <c r="H231">
        <v>28.93</v>
      </c>
      <c r="I231">
        <v>28.93</v>
      </c>
      <c r="J231">
        <v>159.791</v>
      </c>
      <c r="K231">
        <v>0</v>
      </c>
      <c r="L231">
        <v>0</v>
      </c>
      <c r="M231">
        <v>330.99599999999998</v>
      </c>
      <c r="N231">
        <v>27.718</v>
      </c>
      <c r="O231">
        <v>1828.2059999999999</v>
      </c>
      <c r="P231">
        <v>81.438000000000002</v>
      </c>
      <c r="Q231">
        <v>50.491999999999997</v>
      </c>
      <c r="R231">
        <v>1271.8240000000001</v>
      </c>
      <c r="S231">
        <v>240.79400000000001</v>
      </c>
      <c r="T231">
        <v>5.37</v>
      </c>
      <c r="U231">
        <v>18.562000000000001</v>
      </c>
      <c r="V231">
        <v>23.56</v>
      </c>
      <c r="W231">
        <v>81.438000000000002</v>
      </c>
      <c r="X231">
        <v>2503.9160000000002</v>
      </c>
      <c r="Y231">
        <v>15.5</v>
      </c>
      <c r="Z231" s="1">
        <v>520117000000</v>
      </c>
    </row>
    <row r="232" spans="1:26" hidden="1">
      <c r="A232" t="s">
        <v>50</v>
      </c>
      <c r="B232">
        <v>2014</v>
      </c>
      <c r="C232" t="s">
        <v>51</v>
      </c>
      <c r="D232" t="s">
        <v>35</v>
      </c>
      <c r="E232" t="s">
        <v>32</v>
      </c>
      <c r="F232">
        <v>185896917</v>
      </c>
      <c r="G232" s="1">
        <v>1017790000000</v>
      </c>
      <c r="H232">
        <v>32.28</v>
      </c>
      <c r="I232">
        <v>32.28</v>
      </c>
      <c r="J232">
        <v>173.64500000000001</v>
      </c>
      <c r="K232">
        <v>0</v>
      </c>
      <c r="L232">
        <v>0</v>
      </c>
      <c r="M232">
        <v>399.82499999999999</v>
      </c>
      <c r="N232">
        <v>31.635000000000002</v>
      </c>
      <c r="O232">
        <v>2150.7910000000002</v>
      </c>
      <c r="P232">
        <v>83.302000000000007</v>
      </c>
      <c r="Q232">
        <v>51.646999999999998</v>
      </c>
      <c r="R232">
        <v>1270.04</v>
      </c>
      <c r="S232">
        <v>247.24100000000001</v>
      </c>
      <c r="T232">
        <v>5.39</v>
      </c>
      <c r="U232">
        <v>16.698</v>
      </c>
      <c r="V232">
        <v>26.89</v>
      </c>
      <c r="W232">
        <v>83.302000000000007</v>
      </c>
      <c r="X232">
        <v>2658.422</v>
      </c>
      <c r="Y232">
        <v>17.670000000000002</v>
      </c>
      <c r="Z232" s="1">
        <v>574184000000</v>
      </c>
    </row>
    <row r="233" spans="1:26" hidden="1">
      <c r="A233" t="s">
        <v>50</v>
      </c>
      <c r="B233">
        <v>2015</v>
      </c>
      <c r="C233" t="s">
        <v>51</v>
      </c>
      <c r="D233" t="s">
        <v>35</v>
      </c>
      <c r="E233" t="s">
        <v>32</v>
      </c>
      <c r="F233">
        <v>190671883</v>
      </c>
      <c r="G233" s="1">
        <v>1044790000000</v>
      </c>
      <c r="H233">
        <v>33.17</v>
      </c>
      <c r="I233">
        <v>33.17</v>
      </c>
      <c r="J233">
        <v>173.964</v>
      </c>
      <c r="K233">
        <v>0</v>
      </c>
      <c r="L233">
        <v>0</v>
      </c>
      <c r="M233">
        <v>475.65300000000002</v>
      </c>
      <c r="N233">
        <v>31.411999999999999</v>
      </c>
      <c r="O233">
        <v>2494.6149999999998</v>
      </c>
      <c r="P233">
        <v>80.494</v>
      </c>
      <c r="Q233">
        <v>49.905999999999999</v>
      </c>
      <c r="R233">
        <v>1228.846</v>
      </c>
      <c r="S233">
        <v>253.59200000000001</v>
      </c>
      <c r="T233">
        <v>6.47</v>
      </c>
      <c r="U233">
        <v>19.506</v>
      </c>
      <c r="V233">
        <v>26.7</v>
      </c>
      <c r="W233">
        <v>80.494</v>
      </c>
      <c r="X233">
        <v>2458.8649999999998</v>
      </c>
      <c r="Y233">
        <v>17.57</v>
      </c>
      <c r="Z233" s="1">
        <v>493027000000</v>
      </c>
    </row>
    <row r="234" spans="1:26" hidden="1">
      <c r="A234" t="s">
        <v>50</v>
      </c>
      <c r="B234">
        <v>2016</v>
      </c>
      <c r="C234" t="s">
        <v>51</v>
      </c>
      <c r="D234" t="s">
        <v>35</v>
      </c>
      <c r="E234" t="s">
        <v>32</v>
      </c>
      <c r="F234">
        <v>195443698</v>
      </c>
      <c r="G234" s="1">
        <v>1027900000000</v>
      </c>
      <c r="H234">
        <v>36.54</v>
      </c>
      <c r="I234">
        <v>34.6</v>
      </c>
      <c r="J234">
        <v>177.03299999999999</v>
      </c>
      <c r="K234">
        <v>-1.94</v>
      </c>
      <c r="L234">
        <v>-5.6070000000000002</v>
      </c>
      <c r="M234">
        <v>426.37</v>
      </c>
      <c r="N234">
        <v>33.329000000000001</v>
      </c>
      <c r="O234">
        <v>2181.5500000000002</v>
      </c>
      <c r="P234">
        <v>77.531000000000006</v>
      </c>
      <c r="Q234">
        <v>48.069000000000003</v>
      </c>
      <c r="R234">
        <v>1061.3330000000001</v>
      </c>
      <c r="S234">
        <v>259.93799999999999</v>
      </c>
      <c r="T234">
        <v>8.2100000000000009</v>
      </c>
      <c r="U234">
        <v>22.469000000000001</v>
      </c>
      <c r="V234">
        <v>28.33</v>
      </c>
      <c r="W234">
        <v>77.531000000000006</v>
      </c>
      <c r="X234">
        <v>2431.6170000000002</v>
      </c>
      <c r="Y234">
        <v>18.68</v>
      </c>
      <c r="Z234" s="1">
        <v>404649000000</v>
      </c>
    </row>
    <row r="235" spans="1:26" hidden="1">
      <c r="A235" t="s">
        <v>50</v>
      </c>
      <c r="B235">
        <v>2017</v>
      </c>
      <c r="C235" t="s">
        <v>51</v>
      </c>
      <c r="D235" t="s">
        <v>35</v>
      </c>
      <c r="E235" t="s">
        <v>32</v>
      </c>
      <c r="F235">
        <v>200254580</v>
      </c>
      <c r="G235" s="1">
        <v>1036180000000</v>
      </c>
      <c r="H235">
        <v>32.24</v>
      </c>
      <c r="I235">
        <v>29.78</v>
      </c>
      <c r="J235">
        <v>148.71100000000001</v>
      </c>
      <c r="K235">
        <v>-2.46</v>
      </c>
      <c r="L235">
        <v>-8.2609999999999992</v>
      </c>
      <c r="M235">
        <v>472.05599999999998</v>
      </c>
      <c r="N235">
        <v>28.753</v>
      </c>
      <c r="O235">
        <v>2357.2809999999999</v>
      </c>
      <c r="P235">
        <v>75.805999999999997</v>
      </c>
      <c r="Q235">
        <v>47</v>
      </c>
      <c r="R235">
        <v>1097.865</v>
      </c>
      <c r="S235">
        <v>266.33699999999999</v>
      </c>
      <c r="T235">
        <v>7.8</v>
      </c>
      <c r="U235">
        <v>24.193999999999999</v>
      </c>
      <c r="V235">
        <v>24.44</v>
      </c>
      <c r="W235">
        <v>75.805999999999997</v>
      </c>
      <c r="X235">
        <v>2297.201</v>
      </c>
      <c r="Y235">
        <v>16.12</v>
      </c>
      <c r="Z235" s="1">
        <v>375746000000</v>
      </c>
    </row>
    <row r="236" spans="1:26" hidden="1">
      <c r="A236" t="s">
        <v>50</v>
      </c>
      <c r="B236">
        <v>2018</v>
      </c>
      <c r="C236" t="s">
        <v>51</v>
      </c>
      <c r="D236" t="s">
        <v>35</v>
      </c>
      <c r="E236" t="s">
        <v>32</v>
      </c>
      <c r="F236">
        <v>204938752</v>
      </c>
      <c r="G236" s="1">
        <v>1056100000000</v>
      </c>
      <c r="H236">
        <v>36.71</v>
      </c>
      <c r="I236">
        <v>33.71</v>
      </c>
      <c r="J236">
        <v>164.488</v>
      </c>
      <c r="K236">
        <v>-3</v>
      </c>
      <c r="L236">
        <v>-8.8989999999999991</v>
      </c>
      <c r="M236">
        <v>482.69600000000003</v>
      </c>
      <c r="N236">
        <v>34.046999999999997</v>
      </c>
      <c r="O236">
        <v>2355.3159999999998</v>
      </c>
      <c r="P236">
        <v>78.834000000000003</v>
      </c>
      <c r="Q236">
        <v>48.877000000000002</v>
      </c>
      <c r="R236">
        <v>1118.3979999999999</v>
      </c>
      <c r="S236">
        <v>272.56700000000001</v>
      </c>
      <c r="T236">
        <v>7.77</v>
      </c>
      <c r="U236">
        <v>21.166</v>
      </c>
      <c r="V236">
        <v>28.94</v>
      </c>
      <c r="W236">
        <v>78.834000000000003</v>
      </c>
      <c r="X236">
        <v>2398.6109999999999</v>
      </c>
      <c r="Y236">
        <v>19.07</v>
      </c>
      <c r="Z236" s="1">
        <v>421739000000</v>
      </c>
    </row>
    <row r="237" spans="1:26" hidden="1">
      <c r="A237" t="s">
        <v>50</v>
      </c>
      <c r="B237">
        <v>2019</v>
      </c>
      <c r="C237" t="s">
        <v>51</v>
      </c>
      <c r="D237" t="s">
        <v>35</v>
      </c>
      <c r="E237" t="s">
        <v>32</v>
      </c>
      <c r="F237">
        <v>209485637</v>
      </c>
      <c r="G237" s="1">
        <v>1079430000000</v>
      </c>
      <c r="H237">
        <v>36.46</v>
      </c>
      <c r="I237">
        <v>34.130000000000003</v>
      </c>
      <c r="J237">
        <v>162.923</v>
      </c>
      <c r="K237">
        <v>-2.33</v>
      </c>
      <c r="L237">
        <v>-6.827</v>
      </c>
      <c r="M237">
        <v>492.79199999999997</v>
      </c>
      <c r="N237">
        <v>32.881999999999998</v>
      </c>
      <c r="O237">
        <v>2352.3879999999999</v>
      </c>
      <c r="P237">
        <v>76.659000000000006</v>
      </c>
      <c r="Q237">
        <v>47.529000000000003</v>
      </c>
      <c r="R237">
        <v>1172.9770000000001</v>
      </c>
      <c r="S237">
        <v>278.61399999999998</v>
      </c>
      <c r="T237">
        <v>8.51</v>
      </c>
      <c r="U237">
        <v>23.341000000000001</v>
      </c>
      <c r="V237">
        <v>27.95</v>
      </c>
      <c r="W237">
        <v>76.659000000000006</v>
      </c>
      <c r="X237">
        <v>2457.3879999999999</v>
      </c>
      <c r="Y237">
        <v>18.440000000000001</v>
      </c>
      <c r="Z237" s="1">
        <v>668220000000</v>
      </c>
    </row>
    <row r="238" spans="1:26" hidden="1">
      <c r="A238" t="s">
        <v>50</v>
      </c>
      <c r="B238">
        <v>2020</v>
      </c>
      <c r="C238" t="s">
        <v>51</v>
      </c>
      <c r="D238" t="s">
        <v>35</v>
      </c>
      <c r="E238" t="s">
        <v>32</v>
      </c>
      <c r="F238">
        <v>213996185</v>
      </c>
      <c r="G238" s="1">
        <v>1060060000000</v>
      </c>
      <c r="H238">
        <v>38</v>
      </c>
      <c r="I238">
        <v>34.99</v>
      </c>
      <c r="J238">
        <v>163.50800000000001</v>
      </c>
      <c r="K238">
        <v>-3.01</v>
      </c>
      <c r="L238">
        <v>-8.6020000000000003</v>
      </c>
      <c r="M238">
        <v>494.31099999999998</v>
      </c>
      <c r="N238">
        <v>35.517000000000003</v>
      </c>
      <c r="O238">
        <v>2309.9070000000002</v>
      </c>
      <c r="P238">
        <v>79.447000000000003</v>
      </c>
      <c r="Q238">
        <v>49.256999999999998</v>
      </c>
      <c r="R238">
        <v>1063.296</v>
      </c>
      <c r="S238">
        <v>284.613</v>
      </c>
      <c r="T238">
        <v>7.81</v>
      </c>
      <c r="U238">
        <v>20.553000000000001</v>
      </c>
      <c r="V238">
        <v>30.19</v>
      </c>
      <c r="W238">
        <v>79.447000000000003</v>
      </c>
      <c r="X238">
        <v>2221.549</v>
      </c>
      <c r="Y238">
        <v>19.89</v>
      </c>
      <c r="Z238" s="1">
        <v>598587000000</v>
      </c>
    </row>
    <row r="239" spans="1:26" hidden="1">
      <c r="A239" t="s">
        <v>50</v>
      </c>
      <c r="B239">
        <v>2021</v>
      </c>
      <c r="C239" t="s">
        <v>51</v>
      </c>
      <c r="D239" t="s">
        <v>35</v>
      </c>
      <c r="E239" t="s">
        <v>32</v>
      </c>
      <c r="F239">
        <v>218529286</v>
      </c>
      <c r="G239" s="1">
        <v>1098720000000</v>
      </c>
      <c r="H239">
        <v>39.200000000000003</v>
      </c>
      <c r="I239">
        <v>36.14</v>
      </c>
      <c r="J239">
        <v>165.37799999999999</v>
      </c>
      <c r="K239">
        <v>-3.06</v>
      </c>
      <c r="L239">
        <v>-8.4670000000000005</v>
      </c>
      <c r="M239">
        <v>524.40800000000002</v>
      </c>
      <c r="N239">
        <v>36.588000000000001</v>
      </c>
      <c r="O239">
        <v>2399.7159999999999</v>
      </c>
      <c r="P239">
        <v>79.337000000000003</v>
      </c>
      <c r="Q239">
        <v>49.189</v>
      </c>
      <c r="R239">
        <v>938.36199999999997</v>
      </c>
      <c r="S239">
        <v>290.642</v>
      </c>
      <c r="T239">
        <v>8.1</v>
      </c>
      <c r="U239">
        <v>20.663</v>
      </c>
      <c r="V239">
        <v>31.1</v>
      </c>
      <c r="W239">
        <v>79.337000000000003</v>
      </c>
      <c r="X239">
        <v>2345.2539999999999</v>
      </c>
      <c r="Y239">
        <v>20.49</v>
      </c>
      <c r="Z239" s="1">
        <v>609148000000</v>
      </c>
    </row>
    <row r="240" spans="1:26" hidden="1">
      <c r="A240" t="s">
        <v>50</v>
      </c>
      <c r="B240">
        <v>2022</v>
      </c>
      <c r="C240" t="s">
        <v>51</v>
      </c>
      <c r="D240" t="s">
        <v>35</v>
      </c>
      <c r="E240" t="s">
        <v>32</v>
      </c>
      <c r="F240">
        <v>223150906</v>
      </c>
      <c r="G240" s="1">
        <v>1134450000000</v>
      </c>
      <c r="H240">
        <v>38</v>
      </c>
      <c r="I240">
        <v>35.57</v>
      </c>
      <c r="J240">
        <v>159.399</v>
      </c>
      <c r="K240">
        <v>-2.4300000000000002</v>
      </c>
      <c r="L240">
        <v>-6.8319999999999999</v>
      </c>
      <c r="M240">
        <v>471.19400000000002</v>
      </c>
      <c r="N240">
        <v>33.658999999999999</v>
      </c>
      <c r="O240">
        <v>2111.5500000000002</v>
      </c>
      <c r="P240">
        <v>75.289000000000001</v>
      </c>
      <c r="Q240">
        <v>46.679000000000002</v>
      </c>
      <c r="R240">
        <v>805.57399999999996</v>
      </c>
      <c r="S240">
        <v>296.78899999999999</v>
      </c>
      <c r="T240">
        <v>9.39</v>
      </c>
      <c r="U240">
        <v>24.710999999999999</v>
      </c>
      <c r="V240">
        <v>28.61</v>
      </c>
      <c r="W240">
        <v>75.289000000000001</v>
      </c>
      <c r="X240">
        <v>2319.8960000000002</v>
      </c>
      <c r="Y240">
        <v>18.899999999999999</v>
      </c>
      <c r="Z240" s="1">
        <v>646950000000</v>
      </c>
    </row>
    <row r="241" spans="1:26" hidden="1">
      <c r="A241" t="s">
        <v>50</v>
      </c>
      <c r="B241">
        <v>2023</v>
      </c>
      <c r="C241" t="s">
        <v>51</v>
      </c>
      <c r="D241" t="s">
        <v>35</v>
      </c>
      <c r="E241" t="s">
        <v>32</v>
      </c>
      <c r="F241">
        <v>227882949</v>
      </c>
      <c r="G241" s="1">
        <v>865629000000</v>
      </c>
      <c r="H241">
        <v>40.92</v>
      </c>
      <c r="I241">
        <v>38.6</v>
      </c>
      <c r="J241">
        <v>169.38499999999999</v>
      </c>
      <c r="K241">
        <v>-2.3199999999999998</v>
      </c>
      <c r="L241">
        <v>-6.01</v>
      </c>
      <c r="M241">
        <v>443.50700000000001</v>
      </c>
      <c r="N241">
        <v>37.223999999999997</v>
      </c>
      <c r="O241">
        <v>1946.2059999999999</v>
      </c>
      <c r="P241">
        <v>77.322000000000003</v>
      </c>
      <c r="Q241">
        <v>47.94</v>
      </c>
      <c r="R241">
        <v>859.471</v>
      </c>
      <c r="S241">
        <v>303.08199999999999</v>
      </c>
      <c r="T241">
        <v>9.2799999999999994</v>
      </c>
      <c r="U241">
        <v>22.678000000000001</v>
      </c>
      <c r="V241">
        <v>31.64</v>
      </c>
      <c r="W241">
        <v>77.322000000000003</v>
      </c>
      <c r="X241">
        <v>2342.6390000000001</v>
      </c>
      <c r="Y241">
        <v>20.88</v>
      </c>
      <c r="Z241" s="1">
        <v>487388000000</v>
      </c>
    </row>
    <row r="242" spans="1:26" hidden="1">
      <c r="A242" t="s">
        <v>52</v>
      </c>
      <c r="B242">
        <v>2000</v>
      </c>
      <c r="C242" t="s">
        <v>53</v>
      </c>
      <c r="D242" t="s">
        <v>28</v>
      </c>
      <c r="E242" t="s">
        <v>43</v>
      </c>
      <c r="F242">
        <v>16177733</v>
      </c>
      <c r="G242" s="1">
        <v>488272000000</v>
      </c>
      <c r="H242">
        <v>138.69</v>
      </c>
      <c r="I242">
        <v>138.69</v>
      </c>
      <c r="J242">
        <v>8572.8950000000004</v>
      </c>
      <c r="K242">
        <v>0</v>
      </c>
      <c r="L242">
        <v>0</v>
      </c>
      <c r="M242">
        <v>473.19499999999999</v>
      </c>
      <c r="N242">
        <v>473.19499999999999</v>
      </c>
      <c r="O242">
        <v>29249.771000000001</v>
      </c>
      <c r="P242">
        <v>46.030999999999999</v>
      </c>
      <c r="Q242">
        <v>35.448999999999998</v>
      </c>
      <c r="R242">
        <v>5099.9459999999999</v>
      </c>
      <c r="S242">
        <v>861.68499999999995</v>
      </c>
      <c r="T242">
        <v>0</v>
      </c>
      <c r="U242">
        <v>0</v>
      </c>
      <c r="V242">
        <v>138.69</v>
      </c>
      <c r="W242">
        <v>100</v>
      </c>
      <c r="X242">
        <v>82513.391000000003</v>
      </c>
      <c r="Y242">
        <v>96.02</v>
      </c>
      <c r="Z242" s="1">
        <v>189515000000</v>
      </c>
    </row>
    <row r="243" spans="1:26" hidden="1">
      <c r="A243" t="s">
        <v>52</v>
      </c>
      <c r="B243">
        <v>2001</v>
      </c>
      <c r="C243" t="s">
        <v>53</v>
      </c>
      <c r="D243" t="s">
        <v>28</v>
      </c>
      <c r="E243" t="s">
        <v>43</v>
      </c>
      <c r="F243">
        <v>17041405</v>
      </c>
      <c r="G243" s="1">
        <v>506978000000</v>
      </c>
      <c r="H243">
        <v>146.09</v>
      </c>
      <c r="I243">
        <v>146.09</v>
      </c>
      <c r="J243">
        <v>8572.6489999999994</v>
      </c>
      <c r="K243">
        <v>0</v>
      </c>
      <c r="L243">
        <v>0</v>
      </c>
      <c r="M243">
        <v>510.05500000000001</v>
      </c>
      <c r="N243">
        <v>510.05500000000001</v>
      </c>
      <c r="O243">
        <v>29930.335999999999</v>
      </c>
      <c r="P243">
        <v>52.468000000000004</v>
      </c>
      <c r="Q243">
        <v>35.86</v>
      </c>
      <c r="R243">
        <v>4974.1139999999996</v>
      </c>
      <c r="S243">
        <v>912.18600000000004</v>
      </c>
      <c r="T243">
        <v>0</v>
      </c>
      <c r="U243">
        <v>0</v>
      </c>
      <c r="V243">
        <v>146.09</v>
      </c>
      <c r="W243">
        <v>100</v>
      </c>
      <c r="X243">
        <v>83463.327999999994</v>
      </c>
      <c r="Y243">
        <v>101.85</v>
      </c>
      <c r="Z243" s="1">
        <v>184138000000</v>
      </c>
    </row>
    <row r="244" spans="1:26" hidden="1">
      <c r="A244" t="s">
        <v>52</v>
      </c>
      <c r="B244">
        <v>2002</v>
      </c>
      <c r="C244" t="s">
        <v>53</v>
      </c>
      <c r="D244" t="s">
        <v>28</v>
      </c>
      <c r="E244" t="s">
        <v>43</v>
      </c>
      <c r="F244">
        <v>17910909</v>
      </c>
      <c r="G244" s="1">
        <v>518347000000</v>
      </c>
      <c r="H244">
        <v>154.91</v>
      </c>
      <c r="I244">
        <v>154.91</v>
      </c>
      <c r="J244">
        <v>8648.9189999999999</v>
      </c>
      <c r="K244">
        <v>0</v>
      </c>
      <c r="L244">
        <v>0</v>
      </c>
      <c r="M244">
        <v>538.65</v>
      </c>
      <c r="N244">
        <v>538.65</v>
      </c>
      <c r="O244">
        <v>30073.848000000002</v>
      </c>
      <c r="P244">
        <v>55.844999999999999</v>
      </c>
      <c r="Q244">
        <v>36.360999999999997</v>
      </c>
      <c r="R244">
        <v>4536.317</v>
      </c>
      <c r="S244">
        <v>942.58900000000006</v>
      </c>
      <c r="T244">
        <v>0</v>
      </c>
      <c r="U244">
        <v>0</v>
      </c>
      <c r="V244">
        <v>154.91</v>
      </c>
      <c r="W244">
        <v>100</v>
      </c>
      <c r="X244">
        <v>82708.406000000003</v>
      </c>
      <c r="Y244">
        <v>108.39</v>
      </c>
      <c r="Z244" s="1">
        <v>189606000000</v>
      </c>
    </row>
    <row r="245" spans="1:26" hidden="1">
      <c r="A245" t="s">
        <v>52</v>
      </c>
      <c r="B245">
        <v>2003</v>
      </c>
      <c r="C245" t="s">
        <v>53</v>
      </c>
      <c r="D245" t="s">
        <v>28</v>
      </c>
      <c r="E245" t="s">
        <v>43</v>
      </c>
      <c r="F245">
        <v>18786771</v>
      </c>
      <c r="G245" s="1">
        <v>607245000000</v>
      </c>
      <c r="H245">
        <v>166.58</v>
      </c>
      <c r="I245">
        <v>166.58</v>
      </c>
      <c r="J245">
        <v>8866.8780000000006</v>
      </c>
      <c r="K245">
        <v>0</v>
      </c>
      <c r="L245">
        <v>0</v>
      </c>
      <c r="M245">
        <v>570.57000000000005</v>
      </c>
      <c r="N245">
        <v>570.57000000000005</v>
      </c>
      <c r="O245">
        <v>30370.84</v>
      </c>
      <c r="P245">
        <v>54.844999999999999</v>
      </c>
      <c r="Q245">
        <v>36.360999999999997</v>
      </c>
      <c r="R245">
        <v>5355.6120000000001</v>
      </c>
      <c r="S245">
        <v>998.43799999999999</v>
      </c>
      <c r="T245">
        <v>0</v>
      </c>
      <c r="U245">
        <v>0</v>
      </c>
      <c r="V245">
        <v>166.58</v>
      </c>
      <c r="W245">
        <v>100</v>
      </c>
      <c r="X245">
        <v>83526.383000000002</v>
      </c>
      <c r="Y245">
        <v>116.42</v>
      </c>
      <c r="Z245" s="1">
        <v>215808000000</v>
      </c>
    </row>
    <row r="246" spans="1:26" hidden="1">
      <c r="A246" t="s">
        <v>52</v>
      </c>
      <c r="B246">
        <v>2004</v>
      </c>
      <c r="C246" t="s">
        <v>53</v>
      </c>
      <c r="D246" t="s">
        <v>28</v>
      </c>
      <c r="E246" t="s">
        <v>43</v>
      </c>
      <c r="F246">
        <v>19669486</v>
      </c>
      <c r="G246" s="1">
        <v>690847000000</v>
      </c>
      <c r="H246">
        <v>173.41</v>
      </c>
      <c r="I246">
        <v>173.41</v>
      </c>
      <c r="J246">
        <v>8816.1939999999995</v>
      </c>
      <c r="K246">
        <v>0</v>
      </c>
      <c r="L246">
        <v>0</v>
      </c>
      <c r="M246">
        <v>623.96</v>
      </c>
      <c r="N246">
        <v>623.96</v>
      </c>
      <c r="O246">
        <v>31722.232</v>
      </c>
      <c r="P246">
        <v>56.94</v>
      </c>
      <c r="Q246">
        <v>36.651000000000003</v>
      </c>
      <c r="R246">
        <v>5731.1170000000002</v>
      </c>
      <c r="S246">
        <v>1078.3240000000001</v>
      </c>
      <c r="T246">
        <v>0</v>
      </c>
      <c r="U246">
        <v>0</v>
      </c>
      <c r="V246">
        <v>173.41</v>
      </c>
      <c r="W246">
        <v>100</v>
      </c>
      <c r="X246">
        <v>86552.733999999997</v>
      </c>
      <c r="Y246">
        <v>121.47</v>
      </c>
      <c r="Z246" s="1">
        <v>258742000000</v>
      </c>
    </row>
    <row r="247" spans="1:26" hidden="1">
      <c r="A247" t="s">
        <v>52</v>
      </c>
      <c r="B247">
        <v>2005</v>
      </c>
      <c r="C247" t="s">
        <v>53</v>
      </c>
      <c r="D247" t="s">
        <v>28</v>
      </c>
      <c r="E247" t="s">
        <v>43</v>
      </c>
      <c r="F247">
        <v>20559886</v>
      </c>
      <c r="G247" s="1">
        <v>768984000000</v>
      </c>
      <c r="H247">
        <v>191.05</v>
      </c>
      <c r="I247">
        <v>191.05</v>
      </c>
      <c r="J247">
        <v>9292.3670000000002</v>
      </c>
      <c r="K247">
        <v>0</v>
      </c>
      <c r="L247">
        <v>0</v>
      </c>
      <c r="M247">
        <v>676.78</v>
      </c>
      <c r="N247">
        <v>676.78</v>
      </c>
      <c r="O247">
        <v>32917.5</v>
      </c>
      <c r="P247">
        <v>56.493000000000002</v>
      </c>
      <c r="Q247">
        <v>37.368000000000002</v>
      </c>
      <c r="R247">
        <v>6008.3860000000004</v>
      </c>
      <c r="S247">
        <v>1134.001</v>
      </c>
      <c r="T247">
        <v>0</v>
      </c>
      <c r="U247">
        <v>0</v>
      </c>
      <c r="V247">
        <v>191.05</v>
      </c>
      <c r="W247">
        <v>100</v>
      </c>
      <c r="X247">
        <v>88089.297000000006</v>
      </c>
      <c r="Y247">
        <v>133.76</v>
      </c>
      <c r="Z247" s="1">
        <v>328460000000</v>
      </c>
    </row>
    <row r="248" spans="1:26" hidden="1">
      <c r="A248" t="s">
        <v>52</v>
      </c>
      <c r="B248">
        <v>2006</v>
      </c>
      <c r="C248" t="s">
        <v>53</v>
      </c>
      <c r="D248" t="s">
        <v>28</v>
      </c>
      <c r="E248" t="s">
        <v>43</v>
      </c>
      <c r="F248">
        <v>21459141</v>
      </c>
      <c r="G248" s="1">
        <v>833723000000</v>
      </c>
      <c r="H248">
        <v>196.31</v>
      </c>
      <c r="I248">
        <v>196.31</v>
      </c>
      <c r="J248">
        <v>9148.0830000000005</v>
      </c>
      <c r="K248">
        <v>0</v>
      </c>
      <c r="L248">
        <v>0</v>
      </c>
      <c r="M248">
        <v>697.88</v>
      </c>
      <c r="N248">
        <v>697.88</v>
      </c>
      <c r="O248">
        <v>32521.315999999999</v>
      </c>
      <c r="P248">
        <v>53.258000000000003</v>
      </c>
      <c r="Q248">
        <v>36.726999999999997</v>
      </c>
      <c r="R248">
        <v>5918.9790000000003</v>
      </c>
      <c r="S248">
        <v>1202.06</v>
      </c>
      <c r="T248">
        <v>0</v>
      </c>
      <c r="U248">
        <v>0</v>
      </c>
      <c r="V248">
        <v>196.31</v>
      </c>
      <c r="W248">
        <v>100</v>
      </c>
      <c r="X248">
        <v>88548.273000000001</v>
      </c>
      <c r="Y248">
        <v>136.97999999999999</v>
      </c>
      <c r="Z248" s="1">
        <v>376900000000</v>
      </c>
    </row>
    <row r="249" spans="1:26" hidden="1">
      <c r="A249" t="s">
        <v>52</v>
      </c>
      <c r="B249">
        <v>2007</v>
      </c>
      <c r="C249" t="s">
        <v>53</v>
      </c>
      <c r="D249" t="s">
        <v>28</v>
      </c>
      <c r="E249" t="s">
        <v>43</v>
      </c>
      <c r="F249">
        <v>22368313</v>
      </c>
      <c r="G249" s="1">
        <v>896025000000</v>
      </c>
      <c r="H249">
        <v>204.43</v>
      </c>
      <c r="I249">
        <v>204.43</v>
      </c>
      <c r="J249">
        <v>9139.268</v>
      </c>
      <c r="K249">
        <v>0</v>
      </c>
      <c r="L249">
        <v>0</v>
      </c>
      <c r="M249">
        <v>706.99</v>
      </c>
      <c r="N249">
        <v>706.99</v>
      </c>
      <c r="O249">
        <v>31606.768</v>
      </c>
      <c r="P249">
        <v>50.241999999999997</v>
      </c>
      <c r="Q249">
        <v>36.366999999999997</v>
      </c>
      <c r="R249">
        <v>5686.37</v>
      </c>
      <c r="S249">
        <v>1236.422</v>
      </c>
      <c r="T249">
        <v>0</v>
      </c>
      <c r="U249">
        <v>0</v>
      </c>
      <c r="V249">
        <v>204.43</v>
      </c>
      <c r="W249">
        <v>100</v>
      </c>
      <c r="X249">
        <v>86911.210999999996</v>
      </c>
      <c r="Y249">
        <v>142.18</v>
      </c>
      <c r="Z249" s="1">
        <v>415965000000</v>
      </c>
    </row>
    <row r="250" spans="1:26" hidden="1">
      <c r="A250" t="s">
        <v>52</v>
      </c>
      <c r="B250">
        <v>2008</v>
      </c>
      <c r="C250" t="s">
        <v>53</v>
      </c>
      <c r="D250" t="s">
        <v>28</v>
      </c>
      <c r="E250" t="s">
        <v>43</v>
      </c>
      <c r="F250">
        <v>23287884</v>
      </c>
      <c r="G250" s="1">
        <v>1005240000000</v>
      </c>
      <c r="H250">
        <v>204.2</v>
      </c>
      <c r="I250">
        <v>204.2</v>
      </c>
      <c r="J250">
        <v>8768.5079999999998</v>
      </c>
      <c r="K250">
        <v>0</v>
      </c>
      <c r="L250">
        <v>0</v>
      </c>
      <c r="M250">
        <v>764.18</v>
      </c>
      <c r="N250">
        <v>764.18</v>
      </c>
      <c r="O250">
        <v>32814.491999999998</v>
      </c>
      <c r="P250">
        <v>49.319000000000003</v>
      </c>
      <c r="Q250">
        <v>35.902999999999999</v>
      </c>
      <c r="R250">
        <v>5931</v>
      </c>
      <c r="S250">
        <v>1363.5360000000001</v>
      </c>
      <c r="T250">
        <v>0</v>
      </c>
      <c r="U250">
        <v>0</v>
      </c>
      <c r="V250">
        <v>204.2</v>
      </c>
      <c r="W250">
        <v>100</v>
      </c>
      <c r="X250">
        <v>91397.906000000003</v>
      </c>
      <c r="Y250">
        <v>141.88</v>
      </c>
      <c r="Z250" s="1">
        <v>519797000000</v>
      </c>
    </row>
    <row r="251" spans="1:26" hidden="1">
      <c r="A251" t="s">
        <v>52</v>
      </c>
      <c r="B251">
        <v>2009</v>
      </c>
      <c r="C251" t="s">
        <v>53</v>
      </c>
      <c r="D251" t="s">
        <v>28</v>
      </c>
      <c r="E251" t="s">
        <v>43</v>
      </c>
      <c r="F251">
        <v>24217656</v>
      </c>
      <c r="G251" s="1">
        <v>1040470000000</v>
      </c>
      <c r="H251">
        <v>217.31</v>
      </c>
      <c r="I251">
        <v>217.31</v>
      </c>
      <c r="J251">
        <v>8973.2049999999999</v>
      </c>
      <c r="K251">
        <v>0</v>
      </c>
      <c r="L251">
        <v>0</v>
      </c>
      <c r="M251">
        <v>745.27499999999998</v>
      </c>
      <c r="N251">
        <v>745.27499999999998</v>
      </c>
      <c r="O251">
        <v>30774.037</v>
      </c>
      <c r="P251">
        <v>43.298000000000002</v>
      </c>
      <c r="Q251">
        <v>33.796999999999997</v>
      </c>
      <c r="R251">
        <v>5338.2539999999999</v>
      </c>
      <c r="S251">
        <v>1459.588</v>
      </c>
      <c r="T251">
        <v>0</v>
      </c>
      <c r="U251">
        <v>0</v>
      </c>
      <c r="V251">
        <v>217.31</v>
      </c>
      <c r="W251">
        <v>100</v>
      </c>
      <c r="X251">
        <v>91054.976999999999</v>
      </c>
      <c r="Y251">
        <v>150.01</v>
      </c>
      <c r="Z251" s="1">
        <v>429098000000</v>
      </c>
    </row>
    <row r="252" spans="1:26" hidden="1">
      <c r="A252" t="s">
        <v>52</v>
      </c>
      <c r="B252">
        <v>2010</v>
      </c>
      <c r="C252" t="s">
        <v>53</v>
      </c>
      <c r="D252" t="s">
        <v>28</v>
      </c>
      <c r="E252" t="s">
        <v>43</v>
      </c>
      <c r="F252">
        <v>25157134</v>
      </c>
      <c r="G252" s="1">
        <v>1156840000000</v>
      </c>
      <c r="H252">
        <v>248.77</v>
      </c>
      <c r="I252">
        <v>248.77</v>
      </c>
      <c r="J252">
        <v>9888.6460000000006</v>
      </c>
      <c r="K252">
        <v>0</v>
      </c>
      <c r="L252">
        <v>0</v>
      </c>
      <c r="M252">
        <v>832.77</v>
      </c>
      <c r="N252">
        <v>832.77</v>
      </c>
      <c r="O252">
        <v>33102.737999999998</v>
      </c>
      <c r="P252">
        <v>44.771999999999998</v>
      </c>
      <c r="Q252">
        <v>33.975000000000001</v>
      </c>
      <c r="R252">
        <v>5388.1869999999999</v>
      </c>
      <c r="S252">
        <v>1617.539</v>
      </c>
      <c r="T252">
        <v>0</v>
      </c>
      <c r="U252">
        <v>0</v>
      </c>
      <c r="V252">
        <v>248.77</v>
      </c>
      <c r="W252">
        <v>100</v>
      </c>
      <c r="X252">
        <v>97431.875</v>
      </c>
      <c r="Y252">
        <v>172</v>
      </c>
      <c r="Z252" s="1">
        <v>528207000000</v>
      </c>
    </row>
    <row r="253" spans="1:26" hidden="1">
      <c r="A253" t="s">
        <v>52</v>
      </c>
      <c r="B253">
        <v>2011</v>
      </c>
      <c r="C253" t="s">
        <v>53</v>
      </c>
      <c r="D253" t="s">
        <v>28</v>
      </c>
      <c r="E253" t="s">
        <v>43</v>
      </c>
      <c r="F253">
        <v>26105636</v>
      </c>
      <c r="G253" s="1">
        <v>1347950000000</v>
      </c>
      <c r="H253">
        <v>259.14999999999998</v>
      </c>
      <c r="I253">
        <v>259.08</v>
      </c>
      <c r="J253">
        <v>9924.2929999999997</v>
      </c>
      <c r="K253">
        <v>-7.0000000000000007E-2</v>
      </c>
      <c r="L253">
        <v>-2.7E-2</v>
      </c>
      <c r="M253">
        <v>876.47</v>
      </c>
      <c r="N253">
        <v>876.47</v>
      </c>
      <c r="O253">
        <v>33573.976999999999</v>
      </c>
      <c r="P253">
        <v>44.606999999999999</v>
      </c>
      <c r="Q253">
        <v>34.273000000000003</v>
      </c>
      <c r="R253">
        <v>6079.0069999999996</v>
      </c>
      <c r="S253">
        <v>1680.0409999999999</v>
      </c>
      <c r="T253">
        <v>0.01</v>
      </c>
      <c r="U253">
        <v>4.0000000000000001E-3</v>
      </c>
      <c r="V253">
        <v>259.14</v>
      </c>
      <c r="W253">
        <v>99.995999999999995</v>
      </c>
      <c r="X253">
        <v>97959.343999999997</v>
      </c>
      <c r="Y253">
        <v>179.14</v>
      </c>
      <c r="Z253" s="1">
        <v>680661000000</v>
      </c>
    </row>
    <row r="254" spans="1:26" hidden="1">
      <c r="A254" t="s">
        <v>52</v>
      </c>
      <c r="B254">
        <v>2012</v>
      </c>
      <c r="C254" t="s">
        <v>53</v>
      </c>
      <c r="D254" t="s">
        <v>28</v>
      </c>
      <c r="E254" t="s">
        <v>43</v>
      </c>
      <c r="F254">
        <v>27062447</v>
      </c>
      <c r="G254" s="1">
        <v>1421110000000</v>
      </c>
      <c r="H254">
        <v>281.63</v>
      </c>
      <c r="I254">
        <v>281.58</v>
      </c>
      <c r="J254">
        <v>10404.823</v>
      </c>
      <c r="K254">
        <v>-0.05</v>
      </c>
      <c r="L254">
        <v>-1.7999999999999999E-2</v>
      </c>
      <c r="M254">
        <v>943.63499999999999</v>
      </c>
      <c r="N254">
        <v>943.63499999999999</v>
      </c>
      <c r="O254">
        <v>34868.796999999999</v>
      </c>
      <c r="P254">
        <v>46.689</v>
      </c>
      <c r="Q254">
        <v>34.767000000000003</v>
      </c>
      <c r="R254">
        <v>6387.4930000000004</v>
      </c>
      <c r="S254">
        <v>1769.607</v>
      </c>
      <c r="T254">
        <v>0.03</v>
      </c>
      <c r="U254">
        <v>1.0999999999999999E-2</v>
      </c>
      <c r="V254">
        <v>281.60000000000002</v>
      </c>
      <c r="W254">
        <v>99.989000000000004</v>
      </c>
      <c r="X254">
        <v>100294.359</v>
      </c>
      <c r="Y254">
        <v>195.1</v>
      </c>
      <c r="Z254" s="1">
        <v>751921000000</v>
      </c>
    </row>
    <row r="255" spans="1:26" hidden="1">
      <c r="A255" t="s">
        <v>52</v>
      </c>
      <c r="B255">
        <v>2013</v>
      </c>
      <c r="C255" t="s">
        <v>53</v>
      </c>
      <c r="D255" t="s">
        <v>28</v>
      </c>
      <c r="E255" t="s">
        <v>43</v>
      </c>
      <c r="F255">
        <v>28026825</v>
      </c>
      <c r="G255" s="1">
        <v>1461620000000</v>
      </c>
      <c r="H255">
        <v>294.72000000000003</v>
      </c>
      <c r="I255">
        <v>294.67</v>
      </c>
      <c r="J255">
        <v>10513.856</v>
      </c>
      <c r="K255">
        <v>-0.05</v>
      </c>
      <c r="L255">
        <v>-1.7000000000000001E-2</v>
      </c>
      <c r="M255">
        <v>950.28499999999997</v>
      </c>
      <c r="N255">
        <v>950.28499999999997</v>
      </c>
      <c r="O255">
        <v>33906.266000000003</v>
      </c>
      <c r="P255">
        <v>47.095999999999997</v>
      </c>
      <c r="Q255">
        <v>34.793999999999997</v>
      </c>
      <c r="R255">
        <v>6261.7439999999997</v>
      </c>
      <c r="S255">
        <v>1779.671</v>
      </c>
      <c r="T255">
        <v>0.04</v>
      </c>
      <c r="U255">
        <v>1.4E-2</v>
      </c>
      <c r="V255">
        <v>294.68</v>
      </c>
      <c r="W255">
        <v>99.986000000000004</v>
      </c>
      <c r="X255">
        <v>97450.226999999999</v>
      </c>
      <c r="Y255">
        <v>204.26</v>
      </c>
      <c r="Z255" s="1">
        <v>769756000000</v>
      </c>
    </row>
    <row r="256" spans="1:26" hidden="1">
      <c r="A256" t="s">
        <v>52</v>
      </c>
      <c r="B256">
        <v>2014</v>
      </c>
      <c r="C256" t="s">
        <v>53</v>
      </c>
      <c r="D256" t="s">
        <v>28</v>
      </c>
      <c r="E256" t="s">
        <v>43</v>
      </c>
      <c r="F256">
        <v>28998127</v>
      </c>
      <c r="G256" s="1">
        <v>1520480000000</v>
      </c>
      <c r="H256">
        <v>328.2</v>
      </c>
      <c r="I256">
        <v>328.15</v>
      </c>
      <c r="J256">
        <v>11316.248</v>
      </c>
      <c r="K256">
        <v>-0.05</v>
      </c>
      <c r="L256">
        <v>-1.4999999999999999E-2</v>
      </c>
      <c r="M256">
        <v>972.61</v>
      </c>
      <c r="N256">
        <v>972.61</v>
      </c>
      <c r="O256">
        <v>33540.440999999999</v>
      </c>
      <c r="P256">
        <v>46.459000000000003</v>
      </c>
      <c r="Q256">
        <v>33.176000000000002</v>
      </c>
      <c r="R256">
        <v>6324.6679999999997</v>
      </c>
      <c r="S256">
        <v>1957.39</v>
      </c>
      <c r="T256">
        <v>0.05</v>
      </c>
      <c r="U256">
        <v>1.4999999999999999E-2</v>
      </c>
      <c r="V256">
        <v>328.15</v>
      </c>
      <c r="W256">
        <v>99.984999999999999</v>
      </c>
      <c r="X256">
        <v>101100.227</v>
      </c>
      <c r="Y256">
        <v>227.3</v>
      </c>
      <c r="Z256" s="1">
        <v>787153000000</v>
      </c>
    </row>
    <row r="257" spans="1:26" hidden="1">
      <c r="A257" t="s">
        <v>52</v>
      </c>
      <c r="B257">
        <v>2015</v>
      </c>
      <c r="C257" t="s">
        <v>53</v>
      </c>
      <c r="D257" t="s">
        <v>28</v>
      </c>
      <c r="E257" t="s">
        <v>43</v>
      </c>
      <c r="F257">
        <v>29974944</v>
      </c>
      <c r="G257" s="1">
        <v>1591800000000</v>
      </c>
      <c r="H257">
        <v>350.64</v>
      </c>
      <c r="I257">
        <v>350.59</v>
      </c>
      <c r="J257">
        <v>11696.102000000001</v>
      </c>
      <c r="K257">
        <v>-0.05</v>
      </c>
      <c r="L257">
        <v>-1.4E-2</v>
      </c>
      <c r="M257">
        <v>992.27499999999998</v>
      </c>
      <c r="N257">
        <v>992.27499999999998</v>
      </c>
      <c r="O257">
        <v>33103.480000000003</v>
      </c>
      <c r="P257">
        <v>47.151000000000003</v>
      </c>
      <c r="Q257">
        <v>32.463000000000001</v>
      </c>
      <c r="R257">
        <v>6606.2370000000001</v>
      </c>
      <c r="S257">
        <v>2063.19</v>
      </c>
      <c r="T257">
        <v>0.05</v>
      </c>
      <c r="U257">
        <v>1.4E-2</v>
      </c>
      <c r="V257">
        <v>350.59</v>
      </c>
      <c r="W257">
        <v>99.986000000000004</v>
      </c>
      <c r="X257">
        <v>101972.68799999999</v>
      </c>
      <c r="Y257">
        <v>243.02</v>
      </c>
      <c r="Z257" s="1">
        <v>693414000000</v>
      </c>
    </row>
    <row r="258" spans="1:26" hidden="1">
      <c r="A258" t="s">
        <v>52</v>
      </c>
      <c r="B258">
        <v>2016</v>
      </c>
      <c r="C258" t="s">
        <v>53</v>
      </c>
      <c r="D258" t="s">
        <v>28</v>
      </c>
      <c r="E258" t="s">
        <v>43</v>
      </c>
      <c r="F258">
        <v>30717804</v>
      </c>
      <c r="G258" s="1">
        <v>1629410000000</v>
      </c>
      <c r="H258">
        <v>357.66</v>
      </c>
      <c r="I258">
        <v>356.94</v>
      </c>
      <c r="J258">
        <v>11619.972</v>
      </c>
      <c r="K258">
        <v>-0.72</v>
      </c>
      <c r="L258">
        <v>-0.20200000000000001</v>
      </c>
      <c r="M258">
        <v>1053.17</v>
      </c>
      <c r="N258">
        <v>1053.17</v>
      </c>
      <c r="O258">
        <v>34285.328000000001</v>
      </c>
      <c r="P258">
        <v>52.72</v>
      </c>
      <c r="Q258">
        <v>33.119999999999997</v>
      </c>
      <c r="R258">
        <v>6823.4629999999997</v>
      </c>
      <c r="S258">
        <v>2125.6959999999999</v>
      </c>
      <c r="T258">
        <v>0.05</v>
      </c>
      <c r="U258">
        <v>1.4E-2</v>
      </c>
      <c r="V258">
        <v>357.61</v>
      </c>
      <c r="W258">
        <v>99.986000000000004</v>
      </c>
      <c r="X258">
        <v>103517.94500000001</v>
      </c>
      <c r="Y258">
        <v>249.37</v>
      </c>
      <c r="Z258" s="1">
        <v>689279000000</v>
      </c>
    </row>
    <row r="259" spans="1:26" hidden="1">
      <c r="A259" t="s">
        <v>52</v>
      </c>
      <c r="B259">
        <v>2017</v>
      </c>
      <c r="C259" t="s">
        <v>53</v>
      </c>
      <c r="D259" t="s">
        <v>28</v>
      </c>
      <c r="E259" t="s">
        <v>43</v>
      </c>
      <c r="F259">
        <v>30782400</v>
      </c>
      <c r="G259" s="1">
        <v>1628280000000</v>
      </c>
      <c r="H259">
        <v>394.99</v>
      </c>
      <c r="I259">
        <v>394.96</v>
      </c>
      <c r="J259">
        <v>12830.708000000001</v>
      </c>
      <c r="K259">
        <v>-0.03</v>
      </c>
      <c r="L259">
        <v>-8.0000000000000002E-3</v>
      </c>
      <c r="M259">
        <v>1092.502</v>
      </c>
      <c r="N259">
        <v>1092.502</v>
      </c>
      <c r="O259">
        <v>35491.129000000001</v>
      </c>
      <c r="P259">
        <v>56.389000000000003</v>
      </c>
      <c r="Q259">
        <v>34.335999999999999</v>
      </c>
      <c r="R259">
        <v>6504.8850000000002</v>
      </c>
      <c r="S259">
        <v>2087.7919999999999</v>
      </c>
      <c r="T259">
        <v>7.0000000000000007E-2</v>
      </c>
      <c r="U259">
        <v>1.7999999999999999E-2</v>
      </c>
      <c r="V259">
        <v>394.92</v>
      </c>
      <c r="W259">
        <v>99.981999999999999</v>
      </c>
      <c r="X259">
        <v>103364.891</v>
      </c>
      <c r="Y259">
        <v>276.48</v>
      </c>
      <c r="Z259" s="1">
        <v>741266000000</v>
      </c>
    </row>
    <row r="260" spans="1:26" hidden="1">
      <c r="A260" t="s">
        <v>52</v>
      </c>
      <c r="B260">
        <v>2018</v>
      </c>
      <c r="C260" t="s">
        <v>53</v>
      </c>
      <c r="D260" t="s">
        <v>28</v>
      </c>
      <c r="E260" t="s">
        <v>43</v>
      </c>
      <c r="F260">
        <v>30365119</v>
      </c>
      <c r="G260" s="1">
        <v>1673250000000</v>
      </c>
      <c r="H260">
        <v>374.77</v>
      </c>
      <c r="I260">
        <v>374.74</v>
      </c>
      <c r="J260">
        <v>12341.134</v>
      </c>
      <c r="K260">
        <v>-0.03</v>
      </c>
      <c r="L260">
        <v>-8.0000000000000002E-3</v>
      </c>
      <c r="M260">
        <v>1121</v>
      </c>
      <c r="N260">
        <v>1121</v>
      </c>
      <c r="O260">
        <v>36917.358999999997</v>
      </c>
      <c r="P260">
        <v>60.484999999999999</v>
      </c>
      <c r="Q260">
        <v>36.142000000000003</v>
      </c>
      <c r="R260">
        <v>6708.3890000000001</v>
      </c>
      <c r="S260">
        <v>1979.1279999999999</v>
      </c>
      <c r="T260">
        <v>0.16</v>
      </c>
      <c r="U260">
        <v>4.2999999999999997E-2</v>
      </c>
      <c r="V260">
        <v>374.61</v>
      </c>
      <c r="W260">
        <v>99.956999999999994</v>
      </c>
      <c r="X260">
        <v>102146.07799999999</v>
      </c>
      <c r="Y260">
        <v>263.42</v>
      </c>
      <c r="Z260" s="1">
        <v>886565000000</v>
      </c>
    </row>
    <row r="261" spans="1:26" hidden="1">
      <c r="A261" t="s">
        <v>52</v>
      </c>
      <c r="B261">
        <v>2019</v>
      </c>
      <c r="C261" t="s">
        <v>53</v>
      </c>
      <c r="D261" t="s">
        <v>28</v>
      </c>
      <c r="E261" t="s">
        <v>43</v>
      </c>
      <c r="F261">
        <v>30472809</v>
      </c>
      <c r="G261" s="1">
        <v>1687180000000</v>
      </c>
      <c r="H261">
        <v>378.55</v>
      </c>
      <c r="I261">
        <v>378.85</v>
      </c>
      <c r="J261">
        <v>12432.396000000001</v>
      </c>
      <c r="K261">
        <v>0.3</v>
      </c>
      <c r="L261">
        <v>7.9000000000000001E-2</v>
      </c>
      <c r="M261">
        <v>1111.5</v>
      </c>
      <c r="N261">
        <v>1111.5</v>
      </c>
      <c r="O261">
        <v>36475.141000000003</v>
      </c>
      <c r="P261">
        <v>59.052</v>
      </c>
      <c r="Q261">
        <v>37.457999999999998</v>
      </c>
      <c r="R261">
        <v>6472.84</v>
      </c>
      <c r="S261">
        <v>1854.1469999999999</v>
      </c>
      <c r="T261">
        <v>0.22</v>
      </c>
      <c r="U261">
        <v>5.8000000000000003E-2</v>
      </c>
      <c r="V261">
        <v>378.33</v>
      </c>
      <c r="W261">
        <v>99.941999999999993</v>
      </c>
      <c r="X261">
        <v>97377.937999999995</v>
      </c>
      <c r="Y261">
        <v>265.63</v>
      </c>
      <c r="Z261" s="1">
        <v>888890000000</v>
      </c>
    </row>
    <row r="262" spans="1:26" hidden="1">
      <c r="A262" t="s">
        <v>52</v>
      </c>
      <c r="B262">
        <v>2020</v>
      </c>
      <c r="C262" t="s">
        <v>53</v>
      </c>
      <c r="D262" t="s">
        <v>28</v>
      </c>
      <c r="E262" t="s">
        <v>43</v>
      </c>
      <c r="F262">
        <v>30991206</v>
      </c>
      <c r="G262" s="1">
        <v>1613930000000</v>
      </c>
      <c r="H262">
        <v>380.9</v>
      </c>
      <c r="I262">
        <v>380.53</v>
      </c>
      <c r="J262">
        <v>12278.645</v>
      </c>
      <c r="K262">
        <v>-0.37</v>
      </c>
      <c r="L262">
        <v>-9.7000000000000003E-2</v>
      </c>
      <c r="M262">
        <v>1130.5</v>
      </c>
      <c r="N262">
        <v>1130.5</v>
      </c>
      <c r="O262">
        <v>36478.089999999997</v>
      </c>
      <c r="P262">
        <v>60.795000000000002</v>
      </c>
      <c r="Q262">
        <v>39.143000000000001</v>
      </c>
      <c r="R262">
        <v>6042.7489999999998</v>
      </c>
      <c r="S262">
        <v>1754.317</v>
      </c>
      <c r="T262">
        <v>0.92</v>
      </c>
      <c r="U262">
        <v>0.24199999999999999</v>
      </c>
      <c r="V262">
        <v>379.98</v>
      </c>
      <c r="W262">
        <v>99.757999999999996</v>
      </c>
      <c r="X262">
        <v>93195.883000000002</v>
      </c>
      <c r="Y262">
        <v>267.33999999999997</v>
      </c>
      <c r="Z262" s="1">
        <v>767951000000</v>
      </c>
    </row>
    <row r="263" spans="1:26" hidden="1">
      <c r="A263" t="s">
        <v>52</v>
      </c>
      <c r="B263">
        <v>2021</v>
      </c>
      <c r="C263" t="s">
        <v>53</v>
      </c>
      <c r="D263" t="s">
        <v>28</v>
      </c>
      <c r="E263" t="s">
        <v>43</v>
      </c>
      <c r="F263">
        <v>31328374</v>
      </c>
      <c r="G263" s="1">
        <v>1677230000000</v>
      </c>
      <c r="H263">
        <v>392.95</v>
      </c>
      <c r="I263">
        <v>392.91</v>
      </c>
      <c r="J263">
        <v>12541.665999999999</v>
      </c>
      <c r="K263">
        <v>-0.04</v>
      </c>
      <c r="L263">
        <v>-0.01</v>
      </c>
      <c r="M263">
        <v>1144.607</v>
      </c>
      <c r="N263">
        <v>1144.607</v>
      </c>
      <c r="O263">
        <v>36535.788999999997</v>
      </c>
      <c r="P263">
        <v>61.607999999999997</v>
      </c>
      <c r="Q263">
        <v>38.381</v>
      </c>
      <c r="R263">
        <v>5989.7179999999998</v>
      </c>
      <c r="S263">
        <v>1833.8430000000001</v>
      </c>
      <c r="T263">
        <v>1</v>
      </c>
      <c r="U263">
        <v>0.254</v>
      </c>
      <c r="V263">
        <v>391.95</v>
      </c>
      <c r="W263">
        <v>99.745999999999995</v>
      </c>
      <c r="X263">
        <v>95196.312000000005</v>
      </c>
      <c r="Y263">
        <v>276.02</v>
      </c>
      <c r="Z263" s="1">
        <v>982661000000</v>
      </c>
    </row>
    <row r="264" spans="1:26" hidden="1">
      <c r="A264" t="s">
        <v>52</v>
      </c>
      <c r="B264">
        <v>2022</v>
      </c>
      <c r="C264" t="s">
        <v>53</v>
      </c>
      <c r="D264" t="s">
        <v>28</v>
      </c>
      <c r="E264" t="s">
        <v>43</v>
      </c>
      <c r="F264">
        <v>32175351</v>
      </c>
      <c r="G264" s="1">
        <v>1823890000000</v>
      </c>
      <c r="H264">
        <v>409.84</v>
      </c>
      <c r="I264">
        <v>409.8</v>
      </c>
      <c r="J264">
        <v>12736.457</v>
      </c>
      <c r="K264">
        <v>-0.04</v>
      </c>
      <c r="L264">
        <v>-0.01</v>
      </c>
      <c r="M264">
        <v>1167.499</v>
      </c>
      <c r="N264">
        <v>1167.499</v>
      </c>
      <c r="O264">
        <v>36285.508000000002</v>
      </c>
      <c r="P264">
        <v>60.472000000000001</v>
      </c>
      <c r="Q264">
        <v>37.066000000000003</v>
      </c>
      <c r="R264">
        <v>6665.5569999999998</v>
      </c>
      <c r="S264">
        <v>1976.0640000000001</v>
      </c>
      <c r="T264">
        <v>2.0099999999999998</v>
      </c>
      <c r="U264">
        <v>0.49</v>
      </c>
      <c r="V264">
        <v>407.83</v>
      </c>
      <c r="W264">
        <v>99.51</v>
      </c>
      <c r="X264">
        <v>97902.695000000007</v>
      </c>
      <c r="Y264">
        <v>286.91000000000003</v>
      </c>
      <c r="Z264" s="1">
        <v>1239080000000</v>
      </c>
    </row>
    <row r="265" spans="1:26" hidden="1">
      <c r="A265" t="s">
        <v>52</v>
      </c>
      <c r="B265">
        <v>2023</v>
      </c>
      <c r="C265" t="s">
        <v>53</v>
      </c>
      <c r="D265" t="s">
        <v>28</v>
      </c>
      <c r="E265" t="s">
        <v>43</v>
      </c>
      <c r="F265">
        <v>33264289</v>
      </c>
      <c r="G265" s="1">
        <v>2144870000000</v>
      </c>
      <c r="H265">
        <v>429.25</v>
      </c>
      <c r="I265">
        <v>429.21</v>
      </c>
      <c r="J265">
        <v>12903.026</v>
      </c>
      <c r="K265">
        <v>-0.04</v>
      </c>
      <c r="L265">
        <v>-8.9999999999999993E-3</v>
      </c>
      <c r="M265">
        <v>1173.547</v>
      </c>
      <c r="N265">
        <v>1173.547</v>
      </c>
      <c r="O265">
        <v>35279.483999999997</v>
      </c>
      <c r="P265">
        <v>61.851999999999997</v>
      </c>
      <c r="Q265">
        <v>36.673000000000002</v>
      </c>
      <c r="R265">
        <v>6151.1790000000001</v>
      </c>
      <c r="S265">
        <v>2013.4</v>
      </c>
      <c r="T265">
        <v>4.72</v>
      </c>
      <c r="U265">
        <v>1.1000000000000001</v>
      </c>
      <c r="V265">
        <v>424.53</v>
      </c>
      <c r="W265">
        <v>98.9</v>
      </c>
      <c r="X265">
        <v>96221.539000000004</v>
      </c>
      <c r="Y265">
        <v>299.32</v>
      </c>
      <c r="Z265" s="1">
        <v>1218580000000</v>
      </c>
    </row>
    <row r="266" spans="1:26" hidden="1">
      <c r="A266" t="s">
        <v>54</v>
      </c>
      <c r="B266">
        <v>2000</v>
      </c>
      <c r="C266" t="s">
        <v>55</v>
      </c>
      <c r="D266" t="s">
        <v>35</v>
      </c>
      <c r="E266" t="s">
        <v>29</v>
      </c>
      <c r="F266">
        <v>47159715</v>
      </c>
      <c r="G266" s="1">
        <v>356072000000</v>
      </c>
      <c r="H266">
        <v>210.66</v>
      </c>
      <c r="I266">
        <v>222.99</v>
      </c>
      <c r="J266">
        <v>4728.3999999999996</v>
      </c>
      <c r="K266">
        <v>12.33</v>
      </c>
      <c r="L266">
        <v>5.5289999999999999</v>
      </c>
      <c r="M266">
        <v>17.896000000000001</v>
      </c>
      <c r="N266">
        <v>11.396000000000001</v>
      </c>
      <c r="O266">
        <v>379.46899999999999</v>
      </c>
      <c r="P266">
        <v>0</v>
      </c>
      <c r="Q266">
        <v>0.96199999999999997</v>
      </c>
      <c r="R266">
        <v>19.634</v>
      </c>
      <c r="S266">
        <v>264.298</v>
      </c>
      <c r="T266">
        <v>1.58</v>
      </c>
      <c r="U266">
        <v>0.75</v>
      </c>
      <c r="V266">
        <v>196.07</v>
      </c>
      <c r="W266">
        <v>93.073999999999998</v>
      </c>
      <c r="X266">
        <v>25135.504000000001</v>
      </c>
      <c r="Y266">
        <v>168.41</v>
      </c>
      <c r="Z266" s="1">
        <v>151753000000</v>
      </c>
    </row>
    <row r="267" spans="1:26" hidden="1">
      <c r="A267" t="s">
        <v>54</v>
      </c>
      <c r="B267">
        <v>2001</v>
      </c>
      <c r="C267" t="s">
        <v>55</v>
      </c>
      <c r="D267" t="s">
        <v>35</v>
      </c>
      <c r="E267" t="s">
        <v>29</v>
      </c>
      <c r="F267">
        <v>47566805</v>
      </c>
      <c r="G267" s="1">
        <v>374889000000</v>
      </c>
      <c r="H267">
        <v>210.09</v>
      </c>
      <c r="I267">
        <v>212.29</v>
      </c>
      <c r="J267">
        <v>4462.9859999999999</v>
      </c>
      <c r="K267">
        <v>2.2000000000000002</v>
      </c>
      <c r="L267">
        <v>1.036</v>
      </c>
      <c r="M267">
        <v>22.776</v>
      </c>
      <c r="N267">
        <v>13.829000000000001</v>
      </c>
      <c r="O267">
        <v>478.82799999999997</v>
      </c>
      <c r="P267">
        <v>0</v>
      </c>
      <c r="Q267">
        <v>1.1619999999999999</v>
      </c>
      <c r="R267">
        <v>19.417000000000002</v>
      </c>
      <c r="S267">
        <v>269.98200000000003</v>
      </c>
      <c r="T267">
        <v>2.14</v>
      </c>
      <c r="U267">
        <v>1.0189999999999999</v>
      </c>
      <c r="V267">
        <v>197.23</v>
      </c>
      <c r="W267">
        <v>93.879000000000005</v>
      </c>
      <c r="X267">
        <v>25049.745999999999</v>
      </c>
      <c r="Y267">
        <v>169.39</v>
      </c>
      <c r="Z267" s="1">
        <v>135430000000</v>
      </c>
    </row>
    <row r="268" spans="1:26" hidden="1">
      <c r="A268" t="s">
        <v>54</v>
      </c>
      <c r="B268">
        <v>2002</v>
      </c>
      <c r="C268" t="s">
        <v>55</v>
      </c>
      <c r="D268" t="s">
        <v>35</v>
      </c>
      <c r="E268" t="s">
        <v>29</v>
      </c>
      <c r="F268">
        <v>48019414</v>
      </c>
      <c r="G268" s="1">
        <v>396138000000</v>
      </c>
      <c r="H268">
        <v>220.58</v>
      </c>
      <c r="I268">
        <v>222.83</v>
      </c>
      <c r="J268">
        <v>4640.415</v>
      </c>
      <c r="K268">
        <v>2.25</v>
      </c>
      <c r="L268">
        <v>1.01</v>
      </c>
      <c r="M268">
        <v>24.945</v>
      </c>
      <c r="N268">
        <v>13.92</v>
      </c>
      <c r="O268">
        <v>519.48699999999997</v>
      </c>
      <c r="P268">
        <v>0</v>
      </c>
      <c r="Q268">
        <v>1.2</v>
      </c>
      <c r="R268">
        <v>15.525</v>
      </c>
      <c r="S268">
        <v>276.94200000000001</v>
      </c>
      <c r="T268">
        <v>2.56</v>
      </c>
      <c r="U268">
        <v>1.161</v>
      </c>
      <c r="V268">
        <v>206.03</v>
      </c>
      <c r="W268">
        <v>93.403999999999996</v>
      </c>
      <c r="X268">
        <v>24180.324000000001</v>
      </c>
      <c r="Y268">
        <v>176.96</v>
      </c>
      <c r="Z268" s="1">
        <v>129088000000</v>
      </c>
    </row>
    <row r="269" spans="1:26" hidden="1">
      <c r="A269" t="s">
        <v>54</v>
      </c>
      <c r="B269">
        <v>2003</v>
      </c>
      <c r="C269" t="s">
        <v>55</v>
      </c>
      <c r="D269" t="s">
        <v>35</v>
      </c>
      <c r="E269" t="s">
        <v>29</v>
      </c>
      <c r="F269">
        <v>48500351</v>
      </c>
      <c r="G269" s="1">
        <v>413710000000</v>
      </c>
      <c r="H269">
        <v>234.24</v>
      </c>
      <c r="I269">
        <v>232.17</v>
      </c>
      <c r="J269">
        <v>4786.9759999999997</v>
      </c>
      <c r="K269">
        <v>-2.0699999999999998</v>
      </c>
      <c r="L269">
        <v>-0.89200000000000002</v>
      </c>
      <c r="M269">
        <v>24.728999999999999</v>
      </c>
      <c r="N269">
        <v>10.525</v>
      </c>
      <c r="O269">
        <v>509.863</v>
      </c>
      <c r="P269">
        <v>0</v>
      </c>
      <c r="Q269">
        <v>0.83699999999999997</v>
      </c>
      <c r="R269">
        <v>21.238</v>
      </c>
      <c r="S269">
        <v>286.923</v>
      </c>
      <c r="T269">
        <v>1.27</v>
      </c>
      <c r="U269">
        <v>0.54200000000000004</v>
      </c>
      <c r="V269">
        <v>220.31</v>
      </c>
      <c r="W269">
        <v>94.052999999999997</v>
      </c>
      <c r="X269">
        <v>25937.09</v>
      </c>
      <c r="Y269">
        <v>189.18</v>
      </c>
      <c r="Z269" s="1">
        <v>197019000000</v>
      </c>
    </row>
    <row r="270" spans="1:26" hidden="1">
      <c r="A270" t="s">
        <v>54</v>
      </c>
      <c r="B270">
        <v>2004</v>
      </c>
      <c r="C270" t="s">
        <v>55</v>
      </c>
      <c r="D270" t="s">
        <v>35</v>
      </c>
      <c r="E270" t="s">
        <v>29</v>
      </c>
      <c r="F270">
        <v>48991420</v>
      </c>
      <c r="G270" s="1">
        <v>439266000000</v>
      </c>
      <c r="H270">
        <v>244.61</v>
      </c>
      <c r="I270">
        <v>241.17</v>
      </c>
      <c r="J270">
        <v>4922.6989999999996</v>
      </c>
      <c r="K270">
        <v>-3.44</v>
      </c>
      <c r="L270">
        <v>-1.4259999999999999</v>
      </c>
      <c r="M270">
        <v>22.016999999999999</v>
      </c>
      <c r="N270">
        <v>24.343</v>
      </c>
      <c r="O270">
        <v>449.40699999999998</v>
      </c>
      <c r="P270">
        <v>0</v>
      </c>
      <c r="Q270">
        <v>1.774</v>
      </c>
      <c r="R270">
        <v>36.500999999999998</v>
      </c>
      <c r="S270">
        <v>297.69200000000001</v>
      </c>
      <c r="T270">
        <v>1.36</v>
      </c>
      <c r="U270">
        <v>0.55600000000000005</v>
      </c>
      <c r="V270">
        <v>229.88</v>
      </c>
      <c r="W270">
        <v>93.977999999999994</v>
      </c>
      <c r="X270">
        <v>28020.673999999999</v>
      </c>
      <c r="Y270">
        <v>197.38</v>
      </c>
      <c r="Z270" s="1">
        <v>255807000000</v>
      </c>
    </row>
    <row r="271" spans="1:26" hidden="1">
      <c r="A271" t="s">
        <v>54</v>
      </c>
      <c r="B271">
        <v>2005</v>
      </c>
      <c r="C271" t="s">
        <v>55</v>
      </c>
      <c r="D271" t="s">
        <v>35</v>
      </c>
      <c r="E271" t="s">
        <v>29</v>
      </c>
      <c r="F271">
        <v>49490041</v>
      </c>
      <c r="G271" s="1">
        <v>470189000000</v>
      </c>
      <c r="H271">
        <v>244.93</v>
      </c>
      <c r="I271">
        <v>242.59</v>
      </c>
      <c r="J271">
        <v>4901.7939999999999</v>
      </c>
      <c r="K271">
        <v>-2.34</v>
      </c>
      <c r="L271">
        <v>-0.96499999999999997</v>
      </c>
      <c r="M271">
        <v>20.172999999999998</v>
      </c>
      <c r="N271">
        <v>34.555</v>
      </c>
      <c r="O271">
        <v>407.62299999999999</v>
      </c>
      <c r="P271">
        <v>3.6999999999999998E-2</v>
      </c>
      <c r="Q271">
        <v>2.661</v>
      </c>
      <c r="R271">
        <v>23.823</v>
      </c>
      <c r="S271">
        <v>298.21899999999999</v>
      </c>
      <c r="T271">
        <v>1.79</v>
      </c>
      <c r="U271">
        <v>0.73099999999999998</v>
      </c>
      <c r="V271">
        <v>231.85</v>
      </c>
      <c r="W271">
        <v>94.66</v>
      </c>
      <c r="X271">
        <v>26254.201000000001</v>
      </c>
      <c r="Y271">
        <v>199.05</v>
      </c>
      <c r="Z271" s="1">
        <v>288867000000</v>
      </c>
    </row>
    <row r="272" spans="1:26" hidden="1">
      <c r="A272" t="s">
        <v>54</v>
      </c>
      <c r="B272">
        <v>2006</v>
      </c>
      <c r="C272" t="s">
        <v>55</v>
      </c>
      <c r="D272" t="s">
        <v>35</v>
      </c>
      <c r="E272" t="s">
        <v>29</v>
      </c>
      <c r="F272">
        <v>49998271</v>
      </c>
      <c r="G272" s="1">
        <v>505574000000</v>
      </c>
      <c r="H272">
        <v>253.81</v>
      </c>
      <c r="I272">
        <v>250.85</v>
      </c>
      <c r="J272">
        <v>5017.174</v>
      </c>
      <c r="K272">
        <v>-2.96</v>
      </c>
      <c r="L272">
        <v>-1.18</v>
      </c>
      <c r="M272">
        <v>31.452999999999999</v>
      </c>
      <c r="N272">
        <v>37.447000000000003</v>
      </c>
      <c r="O272">
        <v>629.08100000000002</v>
      </c>
      <c r="P272">
        <v>8.0000000000000002E-3</v>
      </c>
      <c r="Q272">
        <v>2.8260000000000001</v>
      </c>
      <c r="R272">
        <v>15.692</v>
      </c>
      <c r="S272">
        <v>304.012</v>
      </c>
      <c r="T272">
        <v>3.34</v>
      </c>
      <c r="U272">
        <v>1.3160000000000001</v>
      </c>
      <c r="V272">
        <v>240.44</v>
      </c>
      <c r="W272">
        <v>94.731999999999999</v>
      </c>
      <c r="X272">
        <v>26522.131000000001</v>
      </c>
      <c r="Y272">
        <v>206.47</v>
      </c>
      <c r="Z272" s="1">
        <v>303859000000</v>
      </c>
    </row>
    <row r="273" spans="1:26" hidden="1">
      <c r="A273" t="s">
        <v>54</v>
      </c>
      <c r="B273">
        <v>2007</v>
      </c>
      <c r="C273" t="s">
        <v>55</v>
      </c>
      <c r="D273" t="s">
        <v>35</v>
      </c>
      <c r="E273" t="s">
        <v>29</v>
      </c>
      <c r="F273">
        <v>50528575</v>
      </c>
      <c r="G273" s="1">
        <v>542976000000</v>
      </c>
      <c r="H273">
        <v>263.49</v>
      </c>
      <c r="I273">
        <v>260.33999999999997</v>
      </c>
      <c r="J273">
        <v>5152.3320000000003</v>
      </c>
      <c r="K273">
        <v>-3.15</v>
      </c>
      <c r="L273">
        <v>-1.21</v>
      </c>
      <c r="M273">
        <v>16.594000000000001</v>
      </c>
      <c r="N273">
        <v>37.908999999999999</v>
      </c>
      <c r="O273">
        <v>328.411</v>
      </c>
      <c r="P273">
        <v>3.4000000000000002E-2</v>
      </c>
      <c r="Q273">
        <v>2.7850000000000001</v>
      </c>
      <c r="R273">
        <v>12.712</v>
      </c>
      <c r="S273">
        <v>310.24799999999999</v>
      </c>
      <c r="T273">
        <v>3.33</v>
      </c>
      <c r="U273">
        <v>1.264</v>
      </c>
      <c r="V273">
        <v>248.84</v>
      </c>
      <c r="W273">
        <v>94.44</v>
      </c>
      <c r="X273">
        <v>26958.873</v>
      </c>
      <c r="Y273">
        <v>213.44</v>
      </c>
      <c r="Z273" s="1">
        <v>333077000000</v>
      </c>
    </row>
    <row r="274" spans="1:26" hidden="1">
      <c r="A274" t="s">
        <v>54</v>
      </c>
      <c r="B274">
        <v>2008</v>
      </c>
      <c r="C274" t="s">
        <v>55</v>
      </c>
      <c r="D274" t="s">
        <v>35</v>
      </c>
      <c r="E274" t="s">
        <v>29</v>
      </c>
      <c r="F274">
        <v>51114595</v>
      </c>
      <c r="G274" s="1">
        <v>571661000000</v>
      </c>
      <c r="H274">
        <v>258.29000000000002</v>
      </c>
      <c r="I274">
        <v>254.69</v>
      </c>
      <c r="J274">
        <v>4982.7259999999997</v>
      </c>
      <c r="K274">
        <v>-3.6</v>
      </c>
      <c r="L274">
        <v>-1.413</v>
      </c>
      <c r="M274">
        <v>14.75</v>
      </c>
      <c r="N274">
        <v>39.219000000000001</v>
      </c>
      <c r="O274">
        <v>288.57400000000001</v>
      </c>
      <c r="P274">
        <v>3.5000000000000003E-2</v>
      </c>
      <c r="Q274">
        <v>2.6890000000000001</v>
      </c>
      <c r="R274">
        <v>11.394</v>
      </c>
      <c r="S274">
        <v>294.21300000000002</v>
      </c>
      <c r="T274">
        <v>1.76</v>
      </c>
      <c r="U274">
        <v>0.68100000000000005</v>
      </c>
      <c r="V274">
        <v>243.53</v>
      </c>
      <c r="W274">
        <v>94.284999999999997</v>
      </c>
      <c r="X274">
        <v>28557.335999999999</v>
      </c>
      <c r="Y274">
        <v>209.06</v>
      </c>
      <c r="Z274" s="1">
        <v>316131000000</v>
      </c>
    </row>
    <row r="275" spans="1:26" hidden="1">
      <c r="A275" t="s">
        <v>54</v>
      </c>
      <c r="B275">
        <v>2009</v>
      </c>
      <c r="C275" t="s">
        <v>55</v>
      </c>
      <c r="D275" t="s">
        <v>35</v>
      </c>
      <c r="E275" t="s">
        <v>29</v>
      </c>
      <c r="F275">
        <v>51728518</v>
      </c>
      <c r="G275" s="1">
        <v>574768000000</v>
      </c>
      <c r="H275">
        <v>249.56</v>
      </c>
      <c r="I275">
        <v>247.8</v>
      </c>
      <c r="J275">
        <v>4790.3950000000004</v>
      </c>
      <c r="K275">
        <v>-1.76</v>
      </c>
      <c r="L275">
        <v>-0.71</v>
      </c>
      <c r="M275">
        <v>11.497</v>
      </c>
      <c r="N275">
        <v>33.24</v>
      </c>
      <c r="O275">
        <v>222.249</v>
      </c>
      <c r="P275">
        <v>4.0000000000000001E-3</v>
      </c>
      <c r="Q275">
        <v>2.2890000000000001</v>
      </c>
      <c r="R275">
        <v>4.9109999999999996</v>
      </c>
      <c r="S275">
        <v>288.54599999999999</v>
      </c>
      <c r="T275">
        <v>1.95</v>
      </c>
      <c r="U275">
        <v>0.78100000000000003</v>
      </c>
      <c r="V275">
        <v>234.8</v>
      </c>
      <c r="W275">
        <v>94.085999999999999</v>
      </c>
      <c r="X275">
        <v>28093.094000000001</v>
      </c>
      <c r="Y275">
        <v>201.62</v>
      </c>
      <c r="Z275" s="1">
        <v>329754000000</v>
      </c>
    </row>
    <row r="276" spans="1:26" hidden="1">
      <c r="A276" t="s">
        <v>54</v>
      </c>
      <c r="B276">
        <v>2010</v>
      </c>
      <c r="C276" t="s">
        <v>55</v>
      </c>
      <c r="D276" t="s">
        <v>35</v>
      </c>
      <c r="E276" t="s">
        <v>29</v>
      </c>
      <c r="F276">
        <v>52344047</v>
      </c>
      <c r="G276" s="1">
        <v>607602000000</v>
      </c>
      <c r="H276">
        <v>259.58999999999997</v>
      </c>
      <c r="I276">
        <v>257.12</v>
      </c>
      <c r="J276">
        <v>4912.1149999999998</v>
      </c>
      <c r="K276">
        <v>-2.4700000000000002</v>
      </c>
      <c r="L276">
        <v>-0.96099999999999997</v>
      </c>
      <c r="M276">
        <v>10.52</v>
      </c>
      <c r="N276">
        <v>41.220999999999997</v>
      </c>
      <c r="O276">
        <v>200.98699999999999</v>
      </c>
      <c r="P276">
        <v>0.316</v>
      </c>
      <c r="Q276">
        <v>2.8180000000000001</v>
      </c>
      <c r="R276">
        <v>4.6040000000000001</v>
      </c>
      <c r="S276">
        <v>302.43700000000001</v>
      </c>
      <c r="T276">
        <v>1.59</v>
      </c>
      <c r="U276">
        <v>0.61299999999999999</v>
      </c>
      <c r="V276">
        <v>244.47</v>
      </c>
      <c r="W276">
        <v>94.174999999999997</v>
      </c>
      <c r="X276">
        <v>27968.58</v>
      </c>
      <c r="Y276">
        <v>209.65</v>
      </c>
      <c r="Z276" s="1">
        <v>417364000000</v>
      </c>
    </row>
    <row r="277" spans="1:26" hidden="1">
      <c r="A277" t="s">
        <v>54</v>
      </c>
      <c r="B277">
        <v>2011</v>
      </c>
      <c r="C277" t="s">
        <v>55</v>
      </c>
      <c r="D277" t="s">
        <v>35</v>
      </c>
      <c r="E277" t="s">
        <v>29</v>
      </c>
      <c r="F277">
        <v>52995212</v>
      </c>
      <c r="G277" s="1">
        <v>645388000000</v>
      </c>
      <c r="H277">
        <v>262.48</v>
      </c>
      <c r="I277">
        <v>259.41000000000003</v>
      </c>
      <c r="J277">
        <v>4894.9709999999995</v>
      </c>
      <c r="K277">
        <v>-3.07</v>
      </c>
      <c r="L277">
        <v>-1.1830000000000001</v>
      </c>
      <c r="M277">
        <v>13.882999999999999</v>
      </c>
      <c r="N277">
        <v>42.808999999999997</v>
      </c>
      <c r="O277">
        <v>261.96100000000001</v>
      </c>
      <c r="P277">
        <v>0.33900000000000002</v>
      </c>
      <c r="Q277">
        <v>2.9630000000000001</v>
      </c>
      <c r="R277">
        <v>4.9109999999999996</v>
      </c>
      <c r="S277">
        <v>306.03500000000003</v>
      </c>
      <c r="T277">
        <v>3.53</v>
      </c>
      <c r="U277">
        <v>1.345</v>
      </c>
      <c r="V277">
        <v>246.05</v>
      </c>
      <c r="W277">
        <v>93.74</v>
      </c>
      <c r="X277">
        <v>27289.521000000001</v>
      </c>
      <c r="Y277">
        <v>210.92</v>
      </c>
      <c r="Z277" s="1">
        <v>458199000000</v>
      </c>
    </row>
    <row r="278" spans="1:26" hidden="1">
      <c r="A278" t="s">
        <v>54</v>
      </c>
      <c r="B278">
        <v>2012</v>
      </c>
      <c r="C278" t="s">
        <v>55</v>
      </c>
      <c r="D278" t="s">
        <v>35</v>
      </c>
      <c r="E278" t="s">
        <v>29</v>
      </c>
      <c r="F278">
        <v>53782570</v>
      </c>
      <c r="G278" s="1">
        <v>660853000000</v>
      </c>
      <c r="H278">
        <v>257.87</v>
      </c>
      <c r="I278">
        <v>252.84</v>
      </c>
      <c r="J278">
        <v>4701.1509999999998</v>
      </c>
      <c r="K278">
        <v>-5.03</v>
      </c>
      <c r="L278">
        <v>-1.9890000000000001</v>
      </c>
      <c r="M278">
        <v>11.93</v>
      </c>
      <c r="N278">
        <v>43.573</v>
      </c>
      <c r="O278">
        <v>221.827</v>
      </c>
      <c r="P278">
        <v>0.69</v>
      </c>
      <c r="Q278">
        <v>3.0619999999999998</v>
      </c>
      <c r="R278">
        <v>4.8719999999999999</v>
      </c>
      <c r="S278">
        <v>313.721</v>
      </c>
      <c r="T278">
        <v>1.51</v>
      </c>
      <c r="U278">
        <v>0.58599999999999997</v>
      </c>
      <c r="V278">
        <v>243.39</v>
      </c>
      <c r="W278">
        <v>94.385000000000005</v>
      </c>
      <c r="X278">
        <v>26478.907999999999</v>
      </c>
      <c r="Y278">
        <v>208.11</v>
      </c>
      <c r="Z278" s="1">
        <v>434401000000</v>
      </c>
    </row>
    <row r="279" spans="1:26" hidden="1">
      <c r="A279" t="s">
        <v>54</v>
      </c>
      <c r="B279">
        <v>2013</v>
      </c>
      <c r="C279" t="s">
        <v>55</v>
      </c>
      <c r="D279" t="s">
        <v>35</v>
      </c>
      <c r="E279" t="s">
        <v>29</v>
      </c>
      <c r="F279">
        <v>54678789</v>
      </c>
      <c r="G279" s="1">
        <v>677278000000</v>
      </c>
      <c r="H279">
        <v>255.95</v>
      </c>
      <c r="I279">
        <v>251.45</v>
      </c>
      <c r="J279">
        <v>4598.6750000000002</v>
      </c>
      <c r="K279">
        <v>-4.5</v>
      </c>
      <c r="L279">
        <v>-1.79</v>
      </c>
      <c r="M279">
        <v>12.798</v>
      </c>
      <c r="N279">
        <v>40.543999999999997</v>
      </c>
      <c r="O279">
        <v>234.06</v>
      </c>
      <c r="P279">
        <v>1.18</v>
      </c>
      <c r="Q279">
        <v>2.8359999999999999</v>
      </c>
      <c r="R279">
        <v>4.6580000000000004</v>
      </c>
      <c r="S279">
        <v>319.58</v>
      </c>
      <c r="T279">
        <v>1.67</v>
      </c>
      <c r="U279">
        <v>0.65200000000000002</v>
      </c>
      <c r="V279">
        <v>240.17</v>
      </c>
      <c r="W279">
        <v>93.834999999999994</v>
      </c>
      <c r="X279">
        <v>26163.136999999999</v>
      </c>
      <c r="Y279">
        <v>204.68</v>
      </c>
      <c r="Z279" s="1">
        <v>400886000000</v>
      </c>
    </row>
    <row r="280" spans="1:26" hidden="1">
      <c r="A280" t="s">
        <v>54</v>
      </c>
      <c r="B280">
        <v>2014</v>
      </c>
      <c r="C280" t="s">
        <v>55</v>
      </c>
      <c r="D280" t="s">
        <v>35</v>
      </c>
      <c r="E280" t="s">
        <v>29</v>
      </c>
      <c r="F280">
        <v>55594840</v>
      </c>
      <c r="G280" s="1">
        <v>686854000000</v>
      </c>
      <c r="H280">
        <v>254.77</v>
      </c>
      <c r="I280">
        <v>252.11</v>
      </c>
      <c r="J280">
        <v>4534.7730000000001</v>
      </c>
      <c r="K280">
        <v>-2.66</v>
      </c>
      <c r="L280">
        <v>-1.0549999999999999</v>
      </c>
      <c r="M280">
        <v>10.304</v>
      </c>
      <c r="N280">
        <v>42.981999999999999</v>
      </c>
      <c r="O280">
        <v>185.333</v>
      </c>
      <c r="P280">
        <v>1.232</v>
      </c>
      <c r="Q280">
        <v>2.9710000000000001</v>
      </c>
      <c r="R280">
        <v>4.306</v>
      </c>
      <c r="S280">
        <v>316.09100000000001</v>
      </c>
      <c r="T280">
        <v>4.3099999999999996</v>
      </c>
      <c r="U280">
        <v>1.6919999999999999</v>
      </c>
      <c r="V280">
        <v>236.67</v>
      </c>
      <c r="W280">
        <v>92.896000000000001</v>
      </c>
      <c r="X280">
        <v>26046.393</v>
      </c>
      <c r="Y280">
        <v>201.67</v>
      </c>
      <c r="Z280" s="1">
        <v>381199000000</v>
      </c>
    </row>
    <row r="281" spans="1:26" hidden="1">
      <c r="A281" t="s">
        <v>54</v>
      </c>
      <c r="B281">
        <v>2015</v>
      </c>
      <c r="C281" t="s">
        <v>55</v>
      </c>
      <c r="D281" t="s">
        <v>35</v>
      </c>
      <c r="E281" t="s">
        <v>29</v>
      </c>
      <c r="F281">
        <v>56723536</v>
      </c>
      <c r="G281" s="1">
        <v>695933000000</v>
      </c>
      <c r="H281">
        <v>250.05</v>
      </c>
      <c r="I281">
        <v>248.5</v>
      </c>
      <c r="J281">
        <v>4380.8969999999999</v>
      </c>
      <c r="K281">
        <v>-1.55</v>
      </c>
      <c r="L281">
        <v>-0.624</v>
      </c>
      <c r="M281">
        <v>11.93</v>
      </c>
      <c r="N281">
        <v>43.186</v>
      </c>
      <c r="O281">
        <v>210.32599999999999</v>
      </c>
      <c r="P281">
        <v>0</v>
      </c>
      <c r="Q281">
        <v>3.0550000000000002</v>
      </c>
      <c r="R281">
        <v>4.306</v>
      </c>
      <c r="S281">
        <v>344.8</v>
      </c>
      <c r="T281">
        <v>6.52</v>
      </c>
      <c r="U281">
        <v>2.6070000000000002</v>
      </c>
      <c r="V281">
        <v>231.29</v>
      </c>
      <c r="W281">
        <v>92.497</v>
      </c>
      <c r="X281">
        <v>24952.884999999998</v>
      </c>
      <c r="Y281">
        <v>197.78</v>
      </c>
      <c r="Z281" s="1">
        <v>346710000000</v>
      </c>
    </row>
    <row r="282" spans="1:26" hidden="1">
      <c r="A282" t="s">
        <v>54</v>
      </c>
      <c r="B282">
        <v>2016</v>
      </c>
      <c r="C282" t="s">
        <v>55</v>
      </c>
      <c r="D282" t="s">
        <v>35</v>
      </c>
      <c r="E282" t="s">
        <v>29</v>
      </c>
      <c r="F282">
        <v>57259550</v>
      </c>
      <c r="G282" s="1">
        <v>700558000000</v>
      </c>
      <c r="H282">
        <v>252.81</v>
      </c>
      <c r="I282">
        <v>246.82</v>
      </c>
      <c r="J282">
        <v>4310.5469999999996</v>
      </c>
      <c r="K282">
        <v>-5.99</v>
      </c>
      <c r="L282">
        <v>-2.427</v>
      </c>
      <c r="M282">
        <v>10.531000000000001</v>
      </c>
      <c r="N282">
        <v>36.546999999999997</v>
      </c>
      <c r="O282">
        <v>183.923</v>
      </c>
      <c r="P282">
        <v>0</v>
      </c>
      <c r="Q282">
        <v>2.4729999999999999</v>
      </c>
      <c r="R282">
        <v>2.7120000000000002</v>
      </c>
      <c r="S282">
        <v>331.59800000000001</v>
      </c>
      <c r="T282">
        <v>8.17</v>
      </c>
      <c r="U282">
        <v>3.2320000000000002</v>
      </c>
      <c r="V282">
        <v>229.61</v>
      </c>
      <c r="W282">
        <v>90.822999999999993</v>
      </c>
      <c r="X282">
        <v>25848.275000000001</v>
      </c>
      <c r="Y282">
        <v>197.04</v>
      </c>
      <c r="Z282" s="1">
        <v>323586000000</v>
      </c>
    </row>
    <row r="283" spans="1:26" hidden="1">
      <c r="A283" t="s">
        <v>54</v>
      </c>
      <c r="B283">
        <v>2017</v>
      </c>
      <c r="C283" t="s">
        <v>55</v>
      </c>
      <c r="D283" t="s">
        <v>35</v>
      </c>
      <c r="E283" t="s">
        <v>29</v>
      </c>
      <c r="F283">
        <v>57635158</v>
      </c>
      <c r="G283" s="1">
        <v>708670000000</v>
      </c>
      <c r="H283">
        <v>255.14</v>
      </c>
      <c r="I283">
        <v>248.51</v>
      </c>
      <c r="J283">
        <v>4311.7780000000002</v>
      </c>
      <c r="K283">
        <v>-6.63</v>
      </c>
      <c r="L283">
        <v>-2.6680000000000001</v>
      </c>
      <c r="M283">
        <v>9.9649999999999999</v>
      </c>
      <c r="N283">
        <v>40.109000000000002</v>
      </c>
      <c r="O283">
        <v>172.898</v>
      </c>
      <c r="P283">
        <v>0</v>
      </c>
      <c r="Q283">
        <v>2.7240000000000002</v>
      </c>
      <c r="R283">
        <v>2.4079999999999999</v>
      </c>
      <c r="S283">
        <v>332.07</v>
      </c>
      <c r="T283">
        <v>12.13</v>
      </c>
      <c r="U283">
        <v>4.7539999999999996</v>
      </c>
      <c r="V283">
        <v>228.82</v>
      </c>
      <c r="W283">
        <v>89.683999999999997</v>
      </c>
      <c r="X283">
        <v>25594.476999999999</v>
      </c>
      <c r="Y283">
        <v>196.18</v>
      </c>
      <c r="Z283" s="1">
        <v>381449000000</v>
      </c>
    </row>
    <row r="284" spans="1:26" hidden="1">
      <c r="A284" t="s">
        <v>54</v>
      </c>
      <c r="B284">
        <v>2018</v>
      </c>
      <c r="C284" t="s">
        <v>55</v>
      </c>
      <c r="D284" t="s">
        <v>35</v>
      </c>
      <c r="E284" t="s">
        <v>29</v>
      </c>
      <c r="F284">
        <v>58613001</v>
      </c>
      <c r="G284" s="1">
        <v>719458000000</v>
      </c>
      <c r="H284">
        <v>256.3</v>
      </c>
      <c r="I284">
        <v>251.6</v>
      </c>
      <c r="J284">
        <v>4292.5630000000001</v>
      </c>
      <c r="K284">
        <v>-4.7</v>
      </c>
      <c r="L284">
        <v>-1.8680000000000001</v>
      </c>
      <c r="M284">
        <v>9.4290000000000003</v>
      </c>
      <c r="N284">
        <v>44.107999999999997</v>
      </c>
      <c r="O284">
        <v>160.869</v>
      </c>
      <c r="P284">
        <v>0</v>
      </c>
      <c r="Q284">
        <v>3.1339999999999999</v>
      </c>
      <c r="R284">
        <v>2.1389999999999998</v>
      </c>
      <c r="S284">
        <v>321.92399999999998</v>
      </c>
      <c r="T284">
        <v>12.48</v>
      </c>
      <c r="U284">
        <v>4.8689999999999998</v>
      </c>
      <c r="V284">
        <v>232.24</v>
      </c>
      <c r="W284">
        <v>90.613</v>
      </c>
      <c r="X284">
        <v>24053.697</v>
      </c>
      <c r="Y284">
        <v>198.55</v>
      </c>
      <c r="Z284" s="1">
        <v>405261000000</v>
      </c>
    </row>
    <row r="285" spans="1:26" hidden="1">
      <c r="A285" t="s">
        <v>54</v>
      </c>
      <c r="B285">
        <v>2019</v>
      </c>
      <c r="C285" t="s">
        <v>55</v>
      </c>
      <c r="D285" t="s">
        <v>35</v>
      </c>
      <c r="E285" t="s">
        <v>29</v>
      </c>
      <c r="F285">
        <v>59587880</v>
      </c>
      <c r="G285" s="1">
        <v>721642000000</v>
      </c>
      <c r="H285">
        <v>253.07</v>
      </c>
      <c r="I285">
        <v>247.9</v>
      </c>
      <c r="J285">
        <v>4160.2420000000002</v>
      </c>
      <c r="K285">
        <v>-5.17</v>
      </c>
      <c r="L285">
        <v>-2.0859999999999999</v>
      </c>
      <c r="M285">
        <v>8.9220000000000006</v>
      </c>
      <c r="N285">
        <v>42.612000000000002</v>
      </c>
      <c r="O285">
        <v>149.72800000000001</v>
      </c>
      <c r="P285">
        <v>0</v>
      </c>
      <c r="Q285">
        <v>2.9009999999999998</v>
      </c>
      <c r="R285">
        <v>1.899</v>
      </c>
      <c r="S285">
        <v>315.92099999999999</v>
      </c>
      <c r="T285">
        <v>13.2</v>
      </c>
      <c r="U285">
        <v>5.2160000000000002</v>
      </c>
      <c r="V285">
        <v>226.62</v>
      </c>
      <c r="W285">
        <v>89.548000000000002</v>
      </c>
      <c r="X285">
        <v>24698.113000000001</v>
      </c>
      <c r="Y285">
        <v>193.41</v>
      </c>
      <c r="Z285" s="1">
        <v>389330000000</v>
      </c>
    </row>
    <row r="286" spans="1:26" hidden="1">
      <c r="A286" t="s">
        <v>54</v>
      </c>
      <c r="B286">
        <v>2020</v>
      </c>
      <c r="C286" t="s">
        <v>55</v>
      </c>
      <c r="D286" t="s">
        <v>35</v>
      </c>
      <c r="E286" t="s">
        <v>29</v>
      </c>
      <c r="F286">
        <v>60562374</v>
      </c>
      <c r="G286" s="1">
        <v>675872000000</v>
      </c>
      <c r="H286">
        <v>240.74</v>
      </c>
      <c r="I286">
        <v>236.92</v>
      </c>
      <c r="J286">
        <v>3912</v>
      </c>
      <c r="K286">
        <v>-3.82</v>
      </c>
      <c r="L286">
        <v>-1.6120000000000001</v>
      </c>
      <c r="M286">
        <v>8.4420000000000002</v>
      </c>
      <c r="N286">
        <v>39.704999999999998</v>
      </c>
      <c r="O286">
        <v>139.393</v>
      </c>
      <c r="P286">
        <v>0</v>
      </c>
      <c r="Q286">
        <v>2.8420000000000001</v>
      </c>
      <c r="R286">
        <v>1.6859999999999999</v>
      </c>
      <c r="S286">
        <v>274.01400000000001</v>
      </c>
      <c r="T286">
        <v>15.27</v>
      </c>
      <c r="U286">
        <v>6.343</v>
      </c>
      <c r="V286">
        <v>215.57</v>
      </c>
      <c r="W286">
        <v>89.545000000000002</v>
      </c>
      <c r="X286">
        <v>23110.006000000001</v>
      </c>
      <c r="Y286">
        <v>183.72</v>
      </c>
      <c r="Z286" s="1">
        <v>337975000000</v>
      </c>
    </row>
    <row r="287" spans="1:26" hidden="1">
      <c r="A287" t="s">
        <v>54</v>
      </c>
      <c r="B287">
        <v>2021</v>
      </c>
      <c r="C287" t="s">
        <v>55</v>
      </c>
      <c r="D287" t="s">
        <v>35</v>
      </c>
      <c r="E287" t="s">
        <v>29</v>
      </c>
      <c r="F287">
        <v>61502602</v>
      </c>
      <c r="G287" s="1">
        <v>709078000000</v>
      </c>
      <c r="H287">
        <v>245.46</v>
      </c>
      <c r="I287">
        <v>241.89</v>
      </c>
      <c r="J287">
        <v>3933.0039999999999</v>
      </c>
      <c r="K287">
        <v>-3.57</v>
      </c>
      <c r="L287">
        <v>-1.476</v>
      </c>
      <c r="M287">
        <v>7.9880000000000004</v>
      </c>
      <c r="N287">
        <v>41.993000000000002</v>
      </c>
      <c r="O287">
        <v>129.881</v>
      </c>
      <c r="P287">
        <v>0</v>
      </c>
      <c r="Q287">
        <v>2.9940000000000002</v>
      </c>
      <c r="R287">
        <v>1.498</v>
      </c>
      <c r="S287">
        <v>288.233</v>
      </c>
      <c r="T287">
        <v>18.920000000000002</v>
      </c>
      <c r="U287">
        <v>7.7080000000000002</v>
      </c>
      <c r="V287">
        <v>214.19</v>
      </c>
      <c r="W287">
        <v>87.260999999999996</v>
      </c>
      <c r="X287">
        <v>22855.134999999998</v>
      </c>
      <c r="Y287">
        <v>182.01</v>
      </c>
      <c r="Z287" s="1">
        <v>419986000000</v>
      </c>
    </row>
    <row r="288" spans="1:26" hidden="1">
      <c r="A288" t="s">
        <v>54</v>
      </c>
      <c r="B288">
        <v>2022</v>
      </c>
      <c r="C288" t="s">
        <v>55</v>
      </c>
      <c r="D288" t="s">
        <v>35</v>
      </c>
      <c r="E288" t="s">
        <v>29</v>
      </c>
      <c r="F288">
        <v>62378417</v>
      </c>
      <c r="G288" s="1">
        <v>723559000000</v>
      </c>
      <c r="H288">
        <v>239.17</v>
      </c>
      <c r="I288">
        <v>237.66</v>
      </c>
      <c r="J288">
        <v>3809.9720000000002</v>
      </c>
      <c r="K288">
        <v>-1.51</v>
      </c>
      <c r="L288">
        <v>-0.63500000000000001</v>
      </c>
      <c r="M288">
        <v>7.5590000000000002</v>
      </c>
      <c r="N288">
        <v>42.695</v>
      </c>
      <c r="O288">
        <v>121.18</v>
      </c>
      <c r="P288">
        <v>0</v>
      </c>
      <c r="Q288">
        <v>3.1789999999999998</v>
      </c>
      <c r="R288">
        <v>1.33</v>
      </c>
      <c r="S288">
        <v>287.8</v>
      </c>
      <c r="T288">
        <v>23.62</v>
      </c>
      <c r="U288">
        <v>9.8759999999999994</v>
      </c>
      <c r="V288">
        <v>205.45</v>
      </c>
      <c r="W288">
        <v>85.900999999999996</v>
      </c>
      <c r="X288">
        <v>21580.688999999998</v>
      </c>
      <c r="Y288">
        <v>174.36</v>
      </c>
      <c r="Z288" s="1">
        <v>407596000000</v>
      </c>
    </row>
    <row r="289" spans="1:26" hidden="1">
      <c r="A289" t="s">
        <v>54</v>
      </c>
      <c r="B289">
        <v>2023</v>
      </c>
      <c r="C289" t="s">
        <v>55</v>
      </c>
      <c r="D289" t="s">
        <v>35</v>
      </c>
      <c r="E289" t="s">
        <v>29</v>
      </c>
      <c r="F289">
        <v>63212386</v>
      </c>
      <c r="G289" s="1">
        <v>694641000000</v>
      </c>
      <c r="H289">
        <v>232.95</v>
      </c>
      <c r="I289">
        <v>232.4</v>
      </c>
      <c r="J289">
        <v>3676.4949999999999</v>
      </c>
      <c r="K289">
        <v>-0.55000000000000004</v>
      </c>
      <c r="L289">
        <v>-0.23699999999999999</v>
      </c>
      <c r="M289">
        <v>7.1520000000000001</v>
      </c>
      <c r="N289">
        <v>47.448999999999998</v>
      </c>
      <c r="O289">
        <v>113.142</v>
      </c>
      <c r="P289">
        <v>0</v>
      </c>
      <c r="Q289">
        <v>3.4780000000000002</v>
      </c>
      <c r="R289">
        <v>1.181</v>
      </c>
      <c r="S289">
        <v>290.03500000000003</v>
      </c>
      <c r="T289">
        <v>28.88</v>
      </c>
      <c r="U289">
        <v>12.398</v>
      </c>
      <c r="V289">
        <v>195.97</v>
      </c>
      <c r="W289">
        <v>84.125</v>
      </c>
      <c r="X289">
        <v>21641.15</v>
      </c>
      <c r="Y289">
        <v>166.42</v>
      </c>
      <c r="Z289" s="1">
        <v>381441000000</v>
      </c>
    </row>
    <row r="290" spans="1:26" hidden="1">
      <c r="A290" t="s">
        <v>56</v>
      </c>
      <c r="B290">
        <v>2000</v>
      </c>
      <c r="C290" t="s">
        <v>57</v>
      </c>
      <c r="D290" t="s">
        <v>35</v>
      </c>
      <c r="E290" t="s">
        <v>36</v>
      </c>
      <c r="F290">
        <v>27816748</v>
      </c>
      <c r="G290">
        <v>40449087186</v>
      </c>
      <c r="H290">
        <v>2.54</v>
      </c>
      <c r="I290">
        <v>2.54</v>
      </c>
      <c r="J290">
        <v>91.311999999999998</v>
      </c>
      <c r="K290">
        <v>0</v>
      </c>
      <c r="L290">
        <v>0</v>
      </c>
      <c r="M290">
        <v>0</v>
      </c>
      <c r="N290">
        <v>0</v>
      </c>
      <c r="O290">
        <v>0</v>
      </c>
      <c r="P290">
        <v>0</v>
      </c>
      <c r="Q290">
        <v>0</v>
      </c>
      <c r="R290">
        <v>102.9</v>
      </c>
      <c r="S290">
        <v>34.828000000000003</v>
      </c>
      <c r="T290">
        <v>1.27</v>
      </c>
      <c r="U290">
        <v>50</v>
      </c>
      <c r="V290">
        <v>1.27</v>
      </c>
      <c r="W290">
        <v>50</v>
      </c>
      <c r="X290">
        <v>1034.2550000000001</v>
      </c>
      <c r="Y290">
        <v>0.89</v>
      </c>
      <c r="Z290">
        <v>12257299147</v>
      </c>
    </row>
    <row r="291" spans="1:26" hidden="1">
      <c r="A291" t="s">
        <v>56</v>
      </c>
      <c r="B291">
        <v>2001</v>
      </c>
      <c r="C291" t="s">
        <v>57</v>
      </c>
      <c r="D291" t="s">
        <v>35</v>
      </c>
      <c r="E291" t="s">
        <v>36</v>
      </c>
      <c r="F291">
        <v>28516774</v>
      </c>
      <c r="G291">
        <v>51863993914</v>
      </c>
      <c r="H291">
        <v>2.68</v>
      </c>
      <c r="I291">
        <v>2.68</v>
      </c>
      <c r="J291">
        <v>93.98</v>
      </c>
      <c r="K291">
        <v>0</v>
      </c>
      <c r="L291">
        <v>0</v>
      </c>
      <c r="M291">
        <v>0</v>
      </c>
      <c r="N291">
        <v>0</v>
      </c>
      <c r="O291">
        <v>0</v>
      </c>
      <c r="P291">
        <v>0</v>
      </c>
      <c r="Q291">
        <v>0</v>
      </c>
      <c r="R291">
        <v>119.73399999999999</v>
      </c>
      <c r="S291">
        <v>35.704999999999998</v>
      </c>
      <c r="T291">
        <v>1.36</v>
      </c>
      <c r="U291">
        <v>50.746000000000002</v>
      </c>
      <c r="V291">
        <v>1.32</v>
      </c>
      <c r="W291">
        <v>49.253999999999998</v>
      </c>
      <c r="X291">
        <v>1082.4169999999999</v>
      </c>
      <c r="Y291">
        <v>0.92</v>
      </c>
      <c r="Z291">
        <v>15716361792</v>
      </c>
    </row>
    <row r="292" spans="1:26" hidden="1">
      <c r="A292" t="s">
        <v>56</v>
      </c>
      <c r="B292">
        <v>2002</v>
      </c>
      <c r="C292" t="s">
        <v>57</v>
      </c>
      <c r="D292" t="s">
        <v>35</v>
      </c>
      <c r="E292" t="s">
        <v>36</v>
      </c>
      <c r="F292">
        <v>29228728</v>
      </c>
      <c r="G292">
        <v>59852523682</v>
      </c>
      <c r="H292">
        <v>3</v>
      </c>
      <c r="I292">
        <v>3</v>
      </c>
      <c r="J292">
        <v>102.639</v>
      </c>
      <c r="K292">
        <v>0</v>
      </c>
      <c r="L292">
        <v>0</v>
      </c>
      <c r="M292">
        <v>0</v>
      </c>
      <c r="N292">
        <v>0</v>
      </c>
      <c r="O292">
        <v>0</v>
      </c>
      <c r="P292">
        <v>0</v>
      </c>
      <c r="Q292">
        <v>0</v>
      </c>
      <c r="R292">
        <v>135.30199999999999</v>
      </c>
      <c r="S292">
        <v>36.595999999999997</v>
      </c>
      <c r="T292">
        <v>1.39</v>
      </c>
      <c r="U292">
        <v>46.332999999999998</v>
      </c>
      <c r="V292">
        <v>1.61</v>
      </c>
      <c r="W292">
        <v>53.667000000000002</v>
      </c>
      <c r="X292">
        <v>1266.991</v>
      </c>
      <c r="Y292">
        <v>1.1200000000000001</v>
      </c>
      <c r="Z292">
        <v>18137128388</v>
      </c>
    </row>
    <row r="293" spans="1:26" hidden="1">
      <c r="A293" t="s">
        <v>56</v>
      </c>
      <c r="B293">
        <v>2003</v>
      </c>
      <c r="C293" t="s">
        <v>57</v>
      </c>
      <c r="D293" t="s">
        <v>35</v>
      </c>
      <c r="E293" t="s">
        <v>36</v>
      </c>
      <c r="F293">
        <v>29896038</v>
      </c>
      <c r="G293">
        <v>70472484917</v>
      </c>
      <c r="H293">
        <v>3.47</v>
      </c>
      <c r="I293">
        <v>3.47</v>
      </c>
      <c r="J293">
        <v>116.069</v>
      </c>
      <c r="K293">
        <v>0</v>
      </c>
      <c r="L293">
        <v>0</v>
      </c>
      <c r="M293">
        <v>0</v>
      </c>
      <c r="N293">
        <v>0</v>
      </c>
      <c r="O293">
        <v>0</v>
      </c>
      <c r="P293">
        <v>0</v>
      </c>
      <c r="Q293">
        <v>0</v>
      </c>
      <c r="R293">
        <v>150.166</v>
      </c>
      <c r="S293">
        <v>37.432000000000002</v>
      </c>
      <c r="T293">
        <v>1.28</v>
      </c>
      <c r="U293">
        <v>36.887999999999998</v>
      </c>
      <c r="V293">
        <v>2.19</v>
      </c>
      <c r="W293">
        <v>63.112000000000002</v>
      </c>
      <c r="X293">
        <v>1296.326</v>
      </c>
      <c r="Y293">
        <v>1.5</v>
      </c>
      <c r="Z293">
        <v>21355298460</v>
      </c>
    </row>
    <row r="294" spans="1:26" hidden="1">
      <c r="A294" t="s">
        <v>56</v>
      </c>
      <c r="B294">
        <v>2004</v>
      </c>
      <c r="C294" t="s">
        <v>57</v>
      </c>
      <c r="D294" t="s">
        <v>35</v>
      </c>
      <c r="E294" t="s">
        <v>36</v>
      </c>
      <c r="F294">
        <v>30556641</v>
      </c>
      <c r="G294">
        <v>87931823927</v>
      </c>
      <c r="H294">
        <v>3.6</v>
      </c>
      <c r="I294">
        <v>3.6</v>
      </c>
      <c r="J294">
        <v>117.81399999999999</v>
      </c>
      <c r="K294">
        <v>0</v>
      </c>
      <c r="L294">
        <v>0</v>
      </c>
      <c r="M294">
        <v>0</v>
      </c>
      <c r="N294">
        <v>0</v>
      </c>
      <c r="O294">
        <v>0</v>
      </c>
      <c r="P294">
        <v>0</v>
      </c>
      <c r="Q294">
        <v>0</v>
      </c>
      <c r="R294">
        <v>167.24</v>
      </c>
      <c r="S294">
        <v>38.259</v>
      </c>
      <c r="T294">
        <v>1.24</v>
      </c>
      <c r="U294">
        <v>34.444000000000003</v>
      </c>
      <c r="V294">
        <v>2.36</v>
      </c>
      <c r="W294">
        <v>65.555999999999997</v>
      </c>
      <c r="X294">
        <v>1402.636</v>
      </c>
      <c r="Y294">
        <v>1.61</v>
      </c>
      <c r="Z294">
        <v>26646007251</v>
      </c>
    </row>
    <row r="295" spans="1:26" hidden="1">
      <c r="A295" t="s">
        <v>56</v>
      </c>
      <c r="B295">
        <v>2005</v>
      </c>
      <c r="C295" t="s">
        <v>57</v>
      </c>
      <c r="D295" t="s">
        <v>35</v>
      </c>
      <c r="E295" t="s">
        <v>36</v>
      </c>
      <c r="F295">
        <v>31262447</v>
      </c>
      <c r="G295" s="1">
        <v>116103000000</v>
      </c>
      <c r="H295">
        <v>3.96</v>
      </c>
      <c r="I295">
        <v>3.96</v>
      </c>
      <c r="J295">
        <v>126.67</v>
      </c>
      <c r="K295">
        <v>0</v>
      </c>
      <c r="L295">
        <v>0</v>
      </c>
      <c r="M295">
        <v>0</v>
      </c>
      <c r="N295">
        <v>0</v>
      </c>
      <c r="O295">
        <v>0</v>
      </c>
      <c r="P295">
        <v>0</v>
      </c>
      <c r="Q295">
        <v>0</v>
      </c>
      <c r="R295">
        <v>168.24</v>
      </c>
      <c r="S295">
        <v>39.143000000000001</v>
      </c>
      <c r="T295">
        <v>1.39</v>
      </c>
      <c r="U295">
        <v>35.100999999999999</v>
      </c>
      <c r="V295">
        <v>2.57</v>
      </c>
      <c r="W295">
        <v>64.899000000000001</v>
      </c>
      <c r="X295">
        <v>1593.2149999999999</v>
      </c>
      <c r="Y295">
        <v>1.75</v>
      </c>
      <c r="Z295">
        <v>35182711988</v>
      </c>
    </row>
    <row r="296" spans="1:26" hidden="1">
      <c r="A296" t="s">
        <v>56</v>
      </c>
      <c r="B296">
        <v>2006</v>
      </c>
      <c r="C296" t="s">
        <v>57</v>
      </c>
      <c r="D296" t="s">
        <v>35</v>
      </c>
      <c r="E296" t="s">
        <v>36</v>
      </c>
      <c r="F296">
        <v>31992438</v>
      </c>
      <c r="G296" s="1">
        <v>149371000000</v>
      </c>
      <c r="H296">
        <v>4.6500000000000004</v>
      </c>
      <c r="I296">
        <v>4.6500000000000004</v>
      </c>
      <c r="J296">
        <v>145.34700000000001</v>
      </c>
      <c r="K296">
        <v>0</v>
      </c>
      <c r="L296">
        <v>0</v>
      </c>
      <c r="M296">
        <v>0</v>
      </c>
      <c r="N296">
        <v>0</v>
      </c>
      <c r="O296">
        <v>0</v>
      </c>
      <c r="P296">
        <v>0</v>
      </c>
      <c r="Q296">
        <v>0</v>
      </c>
      <c r="R296">
        <v>204.03299999999999</v>
      </c>
      <c r="S296">
        <v>40.057000000000002</v>
      </c>
      <c r="T296">
        <v>1.5</v>
      </c>
      <c r="U296">
        <v>32.258000000000003</v>
      </c>
      <c r="V296">
        <v>3.15</v>
      </c>
      <c r="W296">
        <v>67.742000000000004</v>
      </c>
      <c r="X296">
        <v>1865.1569999999999</v>
      </c>
      <c r="Y296">
        <v>2.13</v>
      </c>
      <c r="Z296">
        <v>45263831634</v>
      </c>
    </row>
    <row r="297" spans="1:26" hidden="1">
      <c r="A297" t="s">
        <v>56</v>
      </c>
      <c r="B297">
        <v>2007</v>
      </c>
      <c r="C297" t="s">
        <v>57</v>
      </c>
      <c r="D297" t="s">
        <v>35</v>
      </c>
      <c r="E297" t="s">
        <v>36</v>
      </c>
      <c r="F297">
        <v>32764139</v>
      </c>
      <c r="G297" s="1">
        <v>196152000000</v>
      </c>
      <c r="H297">
        <v>5.16</v>
      </c>
      <c r="I297">
        <v>5.16</v>
      </c>
      <c r="J297">
        <v>157.489</v>
      </c>
      <c r="K297">
        <v>0</v>
      </c>
      <c r="L297">
        <v>0</v>
      </c>
      <c r="M297">
        <v>0</v>
      </c>
      <c r="N297">
        <v>0</v>
      </c>
      <c r="O297">
        <v>0</v>
      </c>
      <c r="P297">
        <v>0</v>
      </c>
      <c r="Q297">
        <v>0</v>
      </c>
      <c r="R297">
        <v>276.76100000000002</v>
      </c>
      <c r="S297">
        <v>41.023000000000003</v>
      </c>
      <c r="T297">
        <v>1.59</v>
      </c>
      <c r="U297">
        <v>30.814</v>
      </c>
      <c r="V297">
        <v>3.57</v>
      </c>
      <c r="W297">
        <v>69.186000000000007</v>
      </c>
      <c r="X297">
        <v>1933.7860000000001</v>
      </c>
      <c r="Y297">
        <v>2.41</v>
      </c>
      <c r="Z297">
        <v>59440139775</v>
      </c>
    </row>
    <row r="298" spans="1:26" hidden="1">
      <c r="A298" t="s">
        <v>56</v>
      </c>
      <c r="B298">
        <v>2008</v>
      </c>
      <c r="C298" t="s">
        <v>57</v>
      </c>
      <c r="D298" t="s">
        <v>35</v>
      </c>
      <c r="E298" t="s">
        <v>36</v>
      </c>
      <c r="F298">
        <v>33623980</v>
      </c>
      <c r="G298" s="1">
        <v>213949000000</v>
      </c>
      <c r="H298">
        <v>5.64</v>
      </c>
      <c r="I298">
        <v>5.64</v>
      </c>
      <c r="J298">
        <v>167.73699999999999</v>
      </c>
      <c r="K298">
        <v>0</v>
      </c>
      <c r="L298">
        <v>0</v>
      </c>
      <c r="M298">
        <v>0</v>
      </c>
      <c r="N298">
        <v>0</v>
      </c>
      <c r="O298">
        <v>0</v>
      </c>
      <c r="P298">
        <v>0</v>
      </c>
      <c r="Q298">
        <v>0</v>
      </c>
      <c r="R298">
        <v>262.49</v>
      </c>
      <c r="S298">
        <v>42.098999999999997</v>
      </c>
      <c r="T298">
        <v>1.6</v>
      </c>
      <c r="U298">
        <v>28.369</v>
      </c>
      <c r="V298">
        <v>4.04</v>
      </c>
      <c r="W298">
        <v>71.631</v>
      </c>
      <c r="X298">
        <v>2060.739</v>
      </c>
      <c r="Y298">
        <v>2.72</v>
      </c>
      <c r="Z298">
        <v>64833083257</v>
      </c>
    </row>
    <row r="299" spans="1:26" hidden="1">
      <c r="A299" t="s">
        <v>56</v>
      </c>
      <c r="B299">
        <v>2009</v>
      </c>
      <c r="C299" t="s">
        <v>57</v>
      </c>
      <c r="D299" t="s">
        <v>35</v>
      </c>
      <c r="E299" t="s">
        <v>36</v>
      </c>
      <c r="F299">
        <v>34569114</v>
      </c>
      <c r="G299" s="1">
        <v>170349000000</v>
      </c>
      <c r="H299">
        <v>6.61</v>
      </c>
      <c r="I299">
        <v>6.61</v>
      </c>
      <c r="J299">
        <v>191.21100000000001</v>
      </c>
      <c r="K299">
        <v>0</v>
      </c>
      <c r="L299">
        <v>0</v>
      </c>
      <c r="M299">
        <v>0</v>
      </c>
      <c r="N299">
        <v>0</v>
      </c>
      <c r="O299">
        <v>0</v>
      </c>
      <c r="P299">
        <v>0</v>
      </c>
      <c r="Q299">
        <v>0</v>
      </c>
      <c r="R299">
        <v>272.23399999999998</v>
      </c>
      <c r="S299">
        <v>43.283000000000001</v>
      </c>
      <c r="T299">
        <v>3.35</v>
      </c>
      <c r="U299">
        <v>50.680999999999997</v>
      </c>
      <c r="V299">
        <v>3.26</v>
      </c>
      <c r="W299">
        <v>49.319000000000003</v>
      </c>
      <c r="X299">
        <v>2072.491</v>
      </c>
      <c r="Y299">
        <v>2.2599999999999998</v>
      </c>
      <c r="Z299">
        <v>51621044077</v>
      </c>
    </row>
    <row r="300" spans="1:26" hidden="1">
      <c r="A300" t="s">
        <v>56</v>
      </c>
      <c r="B300">
        <v>2010</v>
      </c>
      <c r="C300" t="s">
        <v>57</v>
      </c>
      <c r="D300" t="s">
        <v>35</v>
      </c>
      <c r="E300" t="s">
        <v>36</v>
      </c>
      <c r="F300">
        <v>35414403</v>
      </c>
      <c r="G300" s="1">
        <v>194578000000</v>
      </c>
      <c r="H300">
        <v>7.58</v>
      </c>
      <c r="I300">
        <v>7.58</v>
      </c>
      <c r="J300">
        <v>214.03700000000001</v>
      </c>
      <c r="K300">
        <v>0</v>
      </c>
      <c r="L300">
        <v>0</v>
      </c>
      <c r="M300">
        <v>0</v>
      </c>
      <c r="N300">
        <v>0</v>
      </c>
      <c r="O300">
        <v>0</v>
      </c>
      <c r="P300">
        <v>0</v>
      </c>
      <c r="Q300">
        <v>0</v>
      </c>
      <c r="R300">
        <v>264.70600000000002</v>
      </c>
      <c r="S300">
        <v>44.341000000000001</v>
      </c>
      <c r="T300">
        <v>6.28</v>
      </c>
      <c r="U300">
        <v>82.85</v>
      </c>
      <c r="V300">
        <v>1.3</v>
      </c>
      <c r="W300">
        <v>17.149999999999999</v>
      </c>
      <c r="X300">
        <v>2158.8330000000001</v>
      </c>
      <c r="Y300">
        <v>1.04</v>
      </c>
      <c r="Z300">
        <v>58962978034</v>
      </c>
    </row>
    <row r="301" spans="1:26" hidden="1">
      <c r="A301" t="s">
        <v>56</v>
      </c>
      <c r="B301">
        <v>2011</v>
      </c>
      <c r="C301" t="s">
        <v>57</v>
      </c>
      <c r="D301" t="s">
        <v>35</v>
      </c>
      <c r="E301" t="s">
        <v>36</v>
      </c>
      <c r="F301">
        <v>36140808</v>
      </c>
      <c r="G301" s="1">
        <v>181561000000</v>
      </c>
      <c r="H301">
        <v>8.51</v>
      </c>
      <c r="I301">
        <v>8.51</v>
      </c>
      <c r="J301">
        <v>235.46799999999999</v>
      </c>
      <c r="K301">
        <v>0</v>
      </c>
      <c r="L301">
        <v>0</v>
      </c>
      <c r="M301">
        <v>0</v>
      </c>
      <c r="N301">
        <v>0</v>
      </c>
      <c r="O301">
        <v>0</v>
      </c>
      <c r="P301">
        <v>0</v>
      </c>
      <c r="Q301">
        <v>0</v>
      </c>
      <c r="R301">
        <v>166.70599999999999</v>
      </c>
      <c r="S301">
        <v>45.250999999999998</v>
      </c>
      <c r="T301">
        <v>6.52</v>
      </c>
      <c r="U301">
        <v>76.616</v>
      </c>
      <c r="V301">
        <v>1.99</v>
      </c>
      <c r="W301">
        <v>23.384</v>
      </c>
      <c r="X301">
        <v>2017.89</v>
      </c>
      <c r="Y301">
        <v>1.49</v>
      </c>
      <c r="Z301">
        <v>55018567211</v>
      </c>
    </row>
    <row r="302" spans="1:26" hidden="1">
      <c r="A302" t="s">
        <v>56</v>
      </c>
      <c r="B302">
        <v>2012</v>
      </c>
      <c r="C302" t="s">
        <v>57</v>
      </c>
      <c r="D302" t="s">
        <v>35</v>
      </c>
      <c r="E302" t="s">
        <v>36</v>
      </c>
      <c r="F302">
        <v>36923175</v>
      </c>
      <c r="G302" s="1">
        <v>124189000000</v>
      </c>
      <c r="H302">
        <v>9.5</v>
      </c>
      <c r="I302">
        <v>9.57</v>
      </c>
      <c r="J302">
        <v>259.18700000000001</v>
      </c>
      <c r="K302">
        <v>7.0000000000000007E-2</v>
      </c>
      <c r="L302">
        <v>0.73099999999999998</v>
      </c>
      <c r="M302">
        <v>0</v>
      </c>
      <c r="N302">
        <v>0</v>
      </c>
      <c r="O302">
        <v>0</v>
      </c>
      <c r="P302">
        <v>0</v>
      </c>
      <c r="Q302">
        <v>0</v>
      </c>
      <c r="R302">
        <v>59.228999999999999</v>
      </c>
      <c r="S302">
        <v>46.23</v>
      </c>
      <c r="T302">
        <v>6.68</v>
      </c>
      <c r="U302">
        <v>70.316000000000003</v>
      </c>
      <c r="V302">
        <v>2.82</v>
      </c>
      <c r="W302">
        <v>29.684000000000001</v>
      </c>
      <c r="X302">
        <v>1899.232</v>
      </c>
      <c r="Y302">
        <v>2.0499999999999998</v>
      </c>
      <c r="Z302">
        <v>37632919967</v>
      </c>
    </row>
    <row r="303" spans="1:26" hidden="1">
      <c r="A303" t="s">
        <v>56</v>
      </c>
      <c r="B303">
        <v>2013</v>
      </c>
      <c r="C303" t="s">
        <v>57</v>
      </c>
      <c r="D303" t="s">
        <v>35</v>
      </c>
      <c r="E303" t="s">
        <v>36</v>
      </c>
      <c r="F303">
        <v>37785852</v>
      </c>
      <c r="G303" s="1">
        <v>141979000000</v>
      </c>
      <c r="H303">
        <v>10.35</v>
      </c>
      <c r="I303">
        <v>10.67</v>
      </c>
      <c r="J303">
        <v>282.38099999999997</v>
      </c>
      <c r="K303">
        <v>0.32</v>
      </c>
      <c r="L303">
        <v>2.9990000000000001</v>
      </c>
      <c r="M303">
        <v>0</v>
      </c>
      <c r="N303">
        <v>0</v>
      </c>
      <c r="O303">
        <v>0</v>
      </c>
      <c r="P303">
        <v>0</v>
      </c>
      <c r="Q303">
        <v>0</v>
      </c>
      <c r="R303">
        <v>67.513999999999996</v>
      </c>
      <c r="S303">
        <v>47.31</v>
      </c>
      <c r="T303">
        <v>8.3800000000000008</v>
      </c>
      <c r="U303">
        <v>80.965999999999994</v>
      </c>
      <c r="V303">
        <v>1.97</v>
      </c>
      <c r="W303">
        <v>19.033999999999999</v>
      </c>
      <c r="X303">
        <v>1888.242</v>
      </c>
      <c r="Y303">
        <v>1.53</v>
      </c>
      <c r="Z303">
        <v>43024018082</v>
      </c>
    </row>
    <row r="304" spans="1:26" hidden="1">
      <c r="A304" t="s">
        <v>56</v>
      </c>
      <c r="B304">
        <v>2014</v>
      </c>
      <c r="C304" t="s">
        <v>57</v>
      </c>
      <c r="D304" t="s">
        <v>35</v>
      </c>
      <c r="E304" t="s">
        <v>36</v>
      </c>
      <c r="F304">
        <v>38823324</v>
      </c>
      <c r="G304" s="1">
        <v>163405000000</v>
      </c>
      <c r="H304">
        <v>11.41</v>
      </c>
      <c r="I304">
        <v>11.85</v>
      </c>
      <c r="J304">
        <v>305.22899999999998</v>
      </c>
      <c r="K304">
        <v>0.44</v>
      </c>
      <c r="L304">
        <v>3.7130000000000001</v>
      </c>
      <c r="M304">
        <v>0</v>
      </c>
      <c r="N304">
        <v>0</v>
      </c>
      <c r="O304">
        <v>0</v>
      </c>
      <c r="P304">
        <v>0</v>
      </c>
      <c r="Q304">
        <v>0</v>
      </c>
      <c r="R304">
        <v>68.518000000000001</v>
      </c>
      <c r="S304">
        <v>48.609000000000002</v>
      </c>
      <c r="T304">
        <v>8.9499999999999993</v>
      </c>
      <c r="U304">
        <v>78.44</v>
      </c>
      <c r="V304">
        <v>2.46</v>
      </c>
      <c r="W304">
        <v>21.56</v>
      </c>
      <c r="X304">
        <v>1871.96</v>
      </c>
      <c r="Y304">
        <v>1.86</v>
      </c>
      <c r="Z304">
        <v>49516748618</v>
      </c>
    </row>
    <row r="305" spans="1:26" hidden="1">
      <c r="A305" t="s">
        <v>56</v>
      </c>
      <c r="B305">
        <v>2015</v>
      </c>
      <c r="C305" t="s">
        <v>57</v>
      </c>
      <c r="D305" t="s">
        <v>35</v>
      </c>
      <c r="E305" t="s">
        <v>36</v>
      </c>
      <c r="F305">
        <v>40024433</v>
      </c>
      <c r="G305" s="1">
        <v>170698000000</v>
      </c>
      <c r="H305">
        <v>13.09</v>
      </c>
      <c r="I305">
        <v>13.22</v>
      </c>
      <c r="J305">
        <v>330.298</v>
      </c>
      <c r="K305">
        <v>0.13</v>
      </c>
      <c r="L305">
        <v>0.98299999999999998</v>
      </c>
      <c r="M305">
        <v>0</v>
      </c>
      <c r="N305">
        <v>0</v>
      </c>
      <c r="O305">
        <v>0</v>
      </c>
      <c r="P305">
        <v>0</v>
      </c>
      <c r="Q305">
        <v>0</v>
      </c>
      <c r="R305">
        <v>62.478000000000002</v>
      </c>
      <c r="S305">
        <v>50.113</v>
      </c>
      <c r="T305">
        <v>8.4600000000000009</v>
      </c>
      <c r="U305">
        <v>64.629000000000005</v>
      </c>
      <c r="V305">
        <v>4.63</v>
      </c>
      <c r="W305">
        <v>35.371000000000002</v>
      </c>
      <c r="X305">
        <v>1915.481</v>
      </c>
      <c r="Y305">
        <v>3.27</v>
      </c>
      <c r="Z305">
        <v>51726758677</v>
      </c>
    </row>
    <row r="306" spans="1:26" hidden="1">
      <c r="A306" t="s">
        <v>56</v>
      </c>
      <c r="B306">
        <v>2016</v>
      </c>
      <c r="C306" t="s">
        <v>57</v>
      </c>
      <c r="D306" t="s">
        <v>35</v>
      </c>
      <c r="E306" t="s">
        <v>36</v>
      </c>
      <c r="F306">
        <v>41259892</v>
      </c>
      <c r="G306" s="1">
        <v>140680000000</v>
      </c>
      <c r="H306">
        <v>14.57</v>
      </c>
      <c r="I306">
        <v>15.01</v>
      </c>
      <c r="J306">
        <v>363.79199999999997</v>
      </c>
      <c r="K306">
        <v>0.44</v>
      </c>
      <c r="L306">
        <v>2.931</v>
      </c>
      <c r="M306">
        <v>0</v>
      </c>
      <c r="N306">
        <v>0</v>
      </c>
      <c r="O306">
        <v>0</v>
      </c>
      <c r="P306">
        <v>0</v>
      </c>
      <c r="Q306">
        <v>0</v>
      </c>
      <c r="R306">
        <v>48.3</v>
      </c>
      <c r="S306">
        <v>51.66</v>
      </c>
      <c r="T306">
        <v>8.19</v>
      </c>
      <c r="U306">
        <v>56.210999999999999</v>
      </c>
      <c r="V306">
        <v>6.38</v>
      </c>
      <c r="W306">
        <v>43.789000000000001</v>
      </c>
      <c r="X306">
        <v>2243.9679999999998</v>
      </c>
      <c r="Y306">
        <v>4.42</v>
      </c>
      <c r="Z306">
        <v>42630376000</v>
      </c>
    </row>
    <row r="307" spans="1:26" hidden="1">
      <c r="A307" t="s">
        <v>56</v>
      </c>
      <c r="B307">
        <v>2017</v>
      </c>
      <c r="C307" t="s">
        <v>57</v>
      </c>
      <c r="D307" t="s">
        <v>35</v>
      </c>
      <c r="E307" t="s">
        <v>36</v>
      </c>
      <c r="F307">
        <v>42714311</v>
      </c>
      <c r="G307" s="1">
        <v>136236000000</v>
      </c>
      <c r="H307">
        <v>15.7</v>
      </c>
      <c r="I307">
        <v>16.59</v>
      </c>
      <c r="J307">
        <v>388.39400000000001</v>
      </c>
      <c r="K307">
        <v>0.89</v>
      </c>
      <c r="L307">
        <v>5.3650000000000002</v>
      </c>
      <c r="M307">
        <v>0</v>
      </c>
      <c r="N307">
        <v>0</v>
      </c>
      <c r="O307">
        <v>0</v>
      </c>
      <c r="P307">
        <v>0</v>
      </c>
      <c r="Q307">
        <v>0</v>
      </c>
      <c r="R307">
        <v>40.109000000000002</v>
      </c>
      <c r="S307">
        <v>53.481000000000002</v>
      </c>
      <c r="T307">
        <v>9.5</v>
      </c>
      <c r="U307">
        <v>60.51</v>
      </c>
      <c r="V307">
        <v>6.2</v>
      </c>
      <c r="W307">
        <v>39.49</v>
      </c>
      <c r="X307">
        <v>2182.0050000000001</v>
      </c>
      <c r="Y307">
        <v>4.33</v>
      </c>
      <c r="Z307">
        <v>41283617976</v>
      </c>
    </row>
    <row r="308" spans="1:26" hidden="1">
      <c r="A308" t="s">
        <v>56</v>
      </c>
      <c r="B308">
        <v>2018</v>
      </c>
      <c r="C308" t="s">
        <v>57</v>
      </c>
      <c r="D308" t="s">
        <v>35</v>
      </c>
      <c r="E308" t="s">
        <v>36</v>
      </c>
      <c r="F308">
        <v>44230597</v>
      </c>
      <c r="G308" s="1">
        <v>106701000000</v>
      </c>
      <c r="H308">
        <v>16.399999999999999</v>
      </c>
      <c r="I308">
        <v>17.2</v>
      </c>
      <c r="J308">
        <v>388.87099999999998</v>
      </c>
      <c r="K308">
        <v>0.8</v>
      </c>
      <c r="L308">
        <v>4.6509999999999998</v>
      </c>
      <c r="M308">
        <v>0</v>
      </c>
      <c r="N308">
        <v>0</v>
      </c>
      <c r="O308">
        <v>0</v>
      </c>
      <c r="P308">
        <v>0</v>
      </c>
      <c r="Q308">
        <v>0</v>
      </c>
      <c r="R308">
        <v>42.506999999999998</v>
      </c>
      <c r="S308">
        <v>55.378999999999998</v>
      </c>
      <c r="T308">
        <v>9.8000000000000007</v>
      </c>
      <c r="U308">
        <v>59.756</v>
      </c>
      <c r="V308">
        <v>6.6</v>
      </c>
      <c r="W308">
        <v>40.244</v>
      </c>
      <c r="X308">
        <v>2225.5619999999999</v>
      </c>
      <c r="Y308">
        <v>4.5999999999999996</v>
      </c>
      <c r="Z308">
        <v>32333780383</v>
      </c>
    </row>
    <row r="309" spans="1:26" hidden="1">
      <c r="A309" t="s">
        <v>56</v>
      </c>
      <c r="B309">
        <v>2019</v>
      </c>
      <c r="C309" t="s">
        <v>57</v>
      </c>
      <c r="D309" t="s">
        <v>35</v>
      </c>
      <c r="E309" t="s">
        <v>36</v>
      </c>
      <c r="F309">
        <v>45548179</v>
      </c>
      <c r="G309" s="1">
        <v>106716000000</v>
      </c>
      <c r="H309">
        <v>16.22</v>
      </c>
      <c r="I309">
        <v>16.43</v>
      </c>
      <c r="J309">
        <v>360.71699999999998</v>
      </c>
      <c r="K309">
        <v>0.21</v>
      </c>
      <c r="L309">
        <v>1.278</v>
      </c>
      <c r="M309">
        <v>0</v>
      </c>
      <c r="N309">
        <v>0</v>
      </c>
      <c r="O309">
        <v>0</v>
      </c>
      <c r="P309">
        <v>0</v>
      </c>
      <c r="Q309">
        <v>0</v>
      </c>
      <c r="R309">
        <v>41.343000000000004</v>
      </c>
      <c r="S309">
        <v>57.029000000000003</v>
      </c>
      <c r="T309">
        <v>10.34</v>
      </c>
      <c r="U309">
        <v>63.747999999999998</v>
      </c>
      <c r="V309">
        <v>5.88</v>
      </c>
      <c r="W309">
        <v>36.252000000000002</v>
      </c>
      <c r="X309">
        <v>2052.8739999999998</v>
      </c>
      <c r="Y309">
        <v>4.13</v>
      </c>
      <c r="Z309">
        <v>32338079165</v>
      </c>
    </row>
    <row r="310" spans="1:26" hidden="1">
      <c r="A310" t="s">
        <v>56</v>
      </c>
      <c r="B310">
        <v>2020</v>
      </c>
      <c r="C310" t="s">
        <v>57</v>
      </c>
      <c r="D310" t="s">
        <v>35</v>
      </c>
      <c r="E310" t="s">
        <v>36</v>
      </c>
      <c r="F310">
        <v>46789237</v>
      </c>
      <c r="G310">
        <v>89214159375</v>
      </c>
      <c r="H310">
        <v>17.2</v>
      </c>
      <c r="I310">
        <v>17.93</v>
      </c>
      <c r="J310">
        <v>383.20800000000003</v>
      </c>
      <c r="K310">
        <v>0.73</v>
      </c>
      <c r="L310">
        <v>4.0709999999999997</v>
      </c>
      <c r="M310">
        <v>0</v>
      </c>
      <c r="N310">
        <v>0</v>
      </c>
      <c r="O310">
        <v>0</v>
      </c>
      <c r="P310">
        <v>0</v>
      </c>
      <c r="Q310">
        <v>0</v>
      </c>
      <c r="R310">
        <v>36.401000000000003</v>
      </c>
      <c r="S310">
        <v>58.582999999999998</v>
      </c>
      <c r="T310">
        <v>11.15</v>
      </c>
      <c r="U310">
        <v>64.825999999999993</v>
      </c>
      <c r="V310">
        <v>6.05</v>
      </c>
      <c r="W310">
        <v>35.173999999999999</v>
      </c>
      <c r="X310">
        <v>1732.914</v>
      </c>
      <c r="Y310">
        <v>4.26</v>
      </c>
      <c r="Z310">
        <v>27034593750</v>
      </c>
    </row>
    <row r="311" spans="1:26" hidden="1">
      <c r="A311" t="s">
        <v>56</v>
      </c>
      <c r="B311">
        <v>2021</v>
      </c>
      <c r="C311" t="s">
        <v>57</v>
      </c>
      <c r="D311" t="s">
        <v>35</v>
      </c>
      <c r="E311" t="s">
        <v>36</v>
      </c>
      <c r="F311">
        <v>48066930</v>
      </c>
      <c r="G311" s="1">
        <v>112957000000</v>
      </c>
      <c r="H311">
        <v>17.7</v>
      </c>
      <c r="I311">
        <v>18.63</v>
      </c>
      <c r="J311">
        <v>387.58499999999998</v>
      </c>
      <c r="K311">
        <v>0.93</v>
      </c>
      <c r="L311">
        <v>4.992</v>
      </c>
      <c r="M311">
        <v>0</v>
      </c>
      <c r="N311">
        <v>0</v>
      </c>
      <c r="O311">
        <v>0</v>
      </c>
      <c r="P311">
        <v>0</v>
      </c>
      <c r="Q311">
        <v>0</v>
      </c>
      <c r="R311">
        <v>36.712000000000003</v>
      </c>
      <c r="S311">
        <v>60.183</v>
      </c>
      <c r="T311">
        <v>11.09</v>
      </c>
      <c r="U311">
        <v>62.655000000000001</v>
      </c>
      <c r="V311">
        <v>6.61</v>
      </c>
      <c r="W311">
        <v>37.344999999999999</v>
      </c>
      <c r="X311">
        <v>1592.538</v>
      </c>
      <c r="Y311">
        <v>4.63</v>
      </c>
      <c r="Z311">
        <v>34229513775</v>
      </c>
    </row>
    <row r="312" spans="1:26" hidden="1">
      <c r="A312" t="s">
        <v>56</v>
      </c>
      <c r="B312">
        <v>2022</v>
      </c>
      <c r="C312" t="s">
        <v>57</v>
      </c>
      <c r="D312" t="s">
        <v>35</v>
      </c>
      <c r="E312" t="s">
        <v>36</v>
      </c>
      <c r="F312">
        <v>49383344</v>
      </c>
      <c r="G312" s="1">
        <v>170501000000</v>
      </c>
      <c r="H312">
        <v>16.78</v>
      </c>
      <c r="I312">
        <v>17.66</v>
      </c>
      <c r="J312">
        <v>357.61</v>
      </c>
      <c r="K312">
        <v>0.88</v>
      </c>
      <c r="L312">
        <v>4.9829999999999997</v>
      </c>
      <c r="M312">
        <v>0</v>
      </c>
      <c r="N312">
        <v>0</v>
      </c>
      <c r="O312">
        <v>0</v>
      </c>
      <c r="P312">
        <v>0</v>
      </c>
      <c r="Q312">
        <v>0</v>
      </c>
      <c r="R312">
        <v>35.488</v>
      </c>
      <c r="S312">
        <v>61.831000000000003</v>
      </c>
      <c r="T312">
        <v>12.04</v>
      </c>
      <c r="U312">
        <v>71.751999999999995</v>
      </c>
      <c r="V312">
        <v>4.74</v>
      </c>
      <c r="W312">
        <v>28.248000000000001</v>
      </c>
      <c r="X312">
        <v>1790.4</v>
      </c>
      <c r="Y312">
        <v>3.43</v>
      </c>
      <c r="Z312">
        <v>51666875363</v>
      </c>
    </row>
    <row r="313" spans="1:26" hidden="1">
      <c r="A313" t="s">
        <v>56</v>
      </c>
      <c r="B313">
        <v>2023</v>
      </c>
      <c r="C313" t="s">
        <v>57</v>
      </c>
      <c r="D313" t="s">
        <v>35</v>
      </c>
      <c r="E313" t="s">
        <v>36</v>
      </c>
      <c r="F313">
        <v>50042800</v>
      </c>
      <c r="G313" s="1">
        <v>131664000000</v>
      </c>
      <c r="H313">
        <v>14.51</v>
      </c>
      <c r="I313">
        <v>15.16</v>
      </c>
      <c r="J313">
        <v>302.94099999999997</v>
      </c>
      <c r="K313">
        <v>0.65</v>
      </c>
      <c r="L313">
        <v>4.2880000000000003</v>
      </c>
      <c r="M313">
        <v>0</v>
      </c>
      <c r="N313">
        <v>0</v>
      </c>
      <c r="O313">
        <v>0</v>
      </c>
      <c r="P313">
        <v>0</v>
      </c>
      <c r="Q313">
        <v>0</v>
      </c>
      <c r="R313">
        <v>32.914999999999999</v>
      </c>
      <c r="S313">
        <v>34.460999999999999</v>
      </c>
      <c r="T313">
        <v>11.75</v>
      </c>
      <c r="U313">
        <v>80.978999999999999</v>
      </c>
      <c r="V313">
        <v>2.76</v>
      </c>
      <c r="W313">
        <v>19.021000000000001</v>
      </c>
      <c r="X313">
        <v>1800.9770000000001</v>
      </c>
      <c r="Y313">
        <v>2.12</v>
      </c>
      <c r="Z313">
        <v>39898289821</v>
      </c>
    </row>
    <row r="314" spans="1:26" hidden="1">
      <c r="A314" t="s">
        <v>58</v>
      </c>
      <c r="B314">
        <v>2000</v>
      </c>
      <c r="C314" t="s">
        <v>59</v>
      </c>
      <c r="D314" t="s">
        <v>28</v>
      </c>
      <c r="E314" t="s">
        <v>32</v>
      </c>
      <c r="F314">
        <v>9764940</v>
      </c>
      <c r="G314">
        <v>71818861344</v>
      </c>
      <c r="H314">
        <v>10.59</v>
      </c>
      <c r="I314">
        <v>10.59</v>
      </c>
      <c r="J314">
        <v>1084.492</v>
      </c>
      <c r="K314">
        <v>0</v>
      </c>
      <c r="L314">
        <v>0</v>
      </c>
      <c r="M314">
        <v>22.864000000000001</v>
      </c>
      <c r="N314">
        <v>10.917999999999999</v>
      </c>
      <c r="O314">
        <v>2341.3890000000001</v>
      </c>
      <c r="P314">
        <v>87.63</v>
      </c>
      <c r="Q314">
        <v>54.331000000000003</v>
      </c>
      <c r="R314">
        <v>42.588999999999999</v>
      </c>
      <c r="S314">
        <v>49.819000000000003</v>
      </c>
      <c r="T314">
        <v>0.08</v>
      </c>
      <c r="U314">
        <v>0.755</v>
      </c>
      <c r="V314">
        <v>10.51</v>
      </c>
      <c r="W314">
        <v>99.245000000000005</v>
      </c>
      <c r="X314">
        <v>9104.6769999999997</v>
      </c>
      <c r="Y314">
        <v>6.21</v>
      </c>
      <c r="Z314">
        <v>21473528161</v>
      </c>
    </row>
    <row r="315" spans="1:26" hidden="1">
      <c r="A315" t="s">
        <v>58</v>
      </c>
      <c r="B315">
        <v>2001</v>
      </c>
      <c r="C315" t="s">
        <v>59</v>
      </c>
      <c r="D315" t="s">
        <v>28</v>
      </c>
      <c r="E315" t="s">
        <v>32</v>
      </c>
      <c r="F315">
        <v>9869679</v>
      </c>
      <c r="G315">
        <v>75444595962</v>
      </c>
      <c r="H315">
        <v>11.38</v>
      </c>
      <c r="I315">
        <v>11.39</v>
      </c>
      <c r="J315">
        <v>1154.04</v>
      </c>
      <c r="K315">
        <v>0.01</v>
      </c>
      <c r="L315">
        <v>8.7999999999999995E-2</v>
      </c>
      <c r="M315">
        <v>27.363</v>
      </c>
      <c r="N315">
        <v>11.988</v>
      </c>
      <c r="O315">
        <v>2772.4560000000001</v>
      </c>
      <c r="P315">
        <v>89.543000000000006</v>
      </c>
      <c r="Q315">
        <v>55.517000000000003</v>
      </c>
      <c r="R315">
        <v>38.948999999999998</v>
      </c>
      <c r="S315">
        <v>50.353999999999999</v>
      </c>
      <c r="T315">
        <v>7.0000000000000007E-2</v>
      </c>
      <c r="U315">
        <v>0.61499999999999999</v>
      </c>
      <c r="V315">
        <v>11.31</v>
      </c>
      <c r="W315">
        <v>99.385000000000005</v>
      </c>
      <c r="X315">
        <v>10003.665999999999</v>
      </c>
      <c r="Y315">
        <v>6.67</v>
      </c>
      <c r="Z315">
        <v>22065832449</v>
      </c>
    </row>
    <row r="316" spans="1:26" hidden="1">
      <c r="A316" t="s">
        <v>58</v>
      </c>
      <c r="B316">
        <v>2002</v>
      </c>
      <c r="C316" t="s">
        <v>59</v>
      </c>
      <c r="D316" t="s">
        <v>28</v>
      </c>
      <c r="E316" t="s">
        <v>32</v>
      </c>
      <c r="F316">
        <v>9971521</v>
      </c>
      <c r="G316">
        <v>76877531228</v>
      </c>
      <c r="H316">
        <v>11.84</v>
      </c>
      <c r="I316">
        <v>11.78</v>
      </c>
      <c r="J316">
        <v>1181.364</v>
      </c>
      <c r="K316">
        <v>-0.06</v>
      </c>
      <c r="L316">
        <v>-0.50900000000000001</v>
      </c>
      <c r="M316">
        <v>26.146999999999998</v>
      </c>
      <c r="N316">
        <v>12.412000000000001</v>
      </c>
      <c r="O316">
        <v>2622.1790000000001</v>
      </c>
      <c r="P316">
        <v>89.105000000000004</v>
      </c>
      <c r="Q316">
        <v>55.244999999999997</v>
      </c>
      <c r="R316">
        <v>40.542000000000002</v>
      </c>
      <c r="S316">
        <v>50.872999999999998</v>
      </c>
      <c r="T316">
        <v>0.09</v>
      </c>
      <c r="U316">
        <v>0.76</v>
      </c>
      <c r="V316">
        <v>11.75</v>
      </c>
      <c r="W316">
        <v>99.24</v>
      </c>
      <c r="X316">
        <v>9796.6579999999994</v>
      </c>
      <c r="Y316">
        <v>6.92</v>
      </c>
      <c r="Z316">
        <v>23141616605</v>
      </c>
    </row>
    <row r="317" spans="1:26" hidden="1">
      <c r="A317" t="s">
        <v>58</v>
      </c>
      <c r="B317">
        <v>2003</v>
      </c>
      <c r="C317" t="s">
        <v>59</v>
      </c>
      <c r="D317" t="s">
        <v>28</v>
      </c>
      <c r="E317" t="s">
        <v>32</v>
      </c>
      <c r="F317">
        <v>10071638</v>
      </c>
      <c r="G317">
        <v>81240064067</v>
      </c>
      <c r="H317">
        <v>11.28</v>
      </c>
      <c r="I317">
        <v>11.26</v>
      </c>
      <c r="J317">
        <v>1117.991</v>
      </c>
      <c r="K317">
        <v>-0.02</v>
      </c>
      <c r="L317">
        <v>-0.17799999999999999</v>
      </c>
      <c r="M317">
        <v>27.85</v>
      </c>
      <c r="N317">
        <v>12.929</v>
      </c>
      <c r="O317">
        <v>2765.1619999999998</v>
      </c>
      <c r="P317">
        <v>97.429000000000002</v>
      </c>
      <c r="Q317">
        <v>60.405999999999999</v>
      </c>
      <c r="R317">
        <v>36.866999999999997</v>
      </c>
      <c r="S317">
        <v>51.384</v>
      </c>
      <c r="T317">
        <v>0.19</v>
      </c>
      <c r="U317">
        <v>1.6839999999999999</v>
      </c>
      <c r="V317">
        <v>11.09</v>
      </c>
      <c r="W317">
        <v>98.316000000000003</v>
      </c>
      <c r="X317">
        <v>9540.3359999999993</v>
      </c>
      <c r="Y317">
        <v>6.46</v>
      </c>
      <c r="Z317">
        <v>27453902261</v>
      </c>
    </row>
    <row r="318" spans="1:26" hidden="1">
      <c r="A318" t="s">
        <v>58</v>
      </c>
      <c r="B318">
        <v>2004</v>
      </c>
      <c r="C318" t="s">
        <v>59</v>
      </c>
      <c r="D318" t="s">
        <v>28</v>
      </c>
      <c r="E318" t="s">
        <v>32</v>
      </c>
      <c r="F318">
        <v>10166170</v>
      </c>
      <c r="G318">
        <v>86232298416</v>
      </c>
      <c r="H318">
        <v>11.93</v>
      </c>
      <c r="I318">
        <v>11.9</v>
      </c>
      <c r="J318">
        <v>1170.549</v>
      </c>
      <c r="K318">
        <v>-0.03</v>
      </c>
      <c r="L318">
        <v>-0.252</v>
      </c>
      <c r="M318">
        <v>29.187000000000001</v>
      </c>
      <c r="N318">
        <v>13.635</v>
      </c>
      <c r="O318">
        <v>2871.0390000000002</v>
      </c>
      <c r="P318">
        <v>97.15</v>
      </c>
      <c r="Q318">
        <v>60.232999999999997</v>
      </c>
      <c r="R318">
        <v>38.878999999999998</v>
      </c>
      <c r="S318">
        <v>51.866</v>
      </c>
      <c r="T318">
        <v>0.19</v>
      </c>
      <c r="U318">
        <v>1.593</v>
      </c>
      <c r="V318">
        <v>11.74</v>
      </c>
      <c r="W318">
        <v>98.406999999999996</v>
      </c>
      <c r="X318">
        <v>9638.2080000000005</v>
      </c>
      <c r="Y318">
        <v>6.84</v>
      </c>
      <c r="Z318">
        <v>31183885241</v>
      </c>
    </row>
    <row r="319" spans="1:26" hidden="1">
      <c r="A319" t="s">
        <v>58</v>
      </c>
      <c r="B319">
        <v>2005</v>
      </c>
      <c r="C319" t="s">
        <v>59</v>
      </c>
      <c r="D319" t="s">
        <v>28</v>
      </c>
      <c r="E319" t="s">
        <v>32</v>
      </c>
      <c r="F319">
        <v>10255474</v>
      </c>
      <c r="G319">
        <v>89804282207</v>
      </c>
      <c r="H319">
        <v>12.66</v>
      </c>
      <c r="I319">
        <v>12.66</v>
      </c>
      <c r="J319">
        <v>1234.463</v>
      </c>
      <c r="K319">
        <v>0</v>
      </c>
      <c r="L319">
        <v>0</v>
      </c>
      <c r="M319">
        <v>30.404</v>
      </c>
      <c r="N319">
        <v>14.435</v>
      </c>
      <c r="O319">
        <v>2964.623</v>
      </c>
      <c r="P319">
        <v>96.918999999999997</v>
      </c>
      <c r="Q319">
        <v>60.09</v>
      </c>
      <c r="R319">
        <v>39.564999999999998</v>
      </c>
      <c r="S319">
        <v>52.322000000000003</v>
      </c>
      <c r="T319">
        <v>0.18</v>
      </c>
      <c r="U319">
        <v>1.4219999999999999</v>
      </c>
      <c r="V319">
        <v>12.48</v>
      </c>
      <c r="W319">
        <v>98.578000000000003</v>
      </c>
      <c r="X319">
        <v>10374.793</v>
      </c>
      <c r="Y319">
        <v>7.27</v>
      </c>
      <c r="Z319">
        <v>32272186695</v>
      </c>
    </row>
    <row r="320" spans="1:26" hidden="1">
      <c r="A320" t="s">
        <v>58</v>
      </c>
      <c r="B320">
        <v>2006</v>
      </c>
      <c r="C320" t="s">
        <v>59</v>
      </c>
      <c r="D320" t="s">
        <v>28</v>
      </c>
      <c r="E320" t="s">
        <v>32</v>
      </c>
      <c r="F320">
        <v>10346408</v>
      </c>
      <c r="G320">
        <v>95016289901</v>
      </c>
      <c r="H320">
        <v>13.07</v>
      </c>
      <c r="I320">
        <v>13.08</v>
      </c>
      <c r="J320">
        <v>1264.2070000000001</v>
      </c>
      <c r="K320">
        <v>0.01</v>
      </c>
      <c r="L320">
        <v>7.5999999999999998E-2</v>
      </c>
      <c r="M320">
        <v>30.404</v>
      </c>
      <c r="N320">
        <v>14.047000000000001</v>
      </c>
      <c r="O320">
        <v>2938.567</v>
      </c>
      <c r="P320">
        <v>91.353999999999999</v>
      </c>
      <c r="Q320">
        <v>56.639000000000003</v>
      </c>
      <c r="R320">
        <v>37.936999999999998</v>
      </c>
      <c r="S320">
        <v>52.786000000000001</v>
      </c>
      <c r="T320">
        <v>0.13</v>
      </c>
      <c r="U320">
        <v>0.995</v>
      </c>
      <c r="V320">
        <v>12.94</v>
      </c>
      <c r="W320">
        <v>99.004999999999995</v>
      </c>
      <c r="X320">
        <v>9707.5030000000006</v>
      </c>
      <c r="Y320">
        <v>7.6</v>
      </c>
      <c r="Z320">
        <v>34376664601</v>
      </c>
    </row>
    <row r="321" spans="1:26" hidden="1">
      <c r="A321" t="s">
        <v>58</v>
      </c>
      <c r="B321">
        <v>2007</v>
      </c>
      <c r="C321" t="s">
        <v>59</v>
      </c>
      <c r="D321" t="s">
        <v>28</v>
      </c>
      <c r="E321" t="s">
        <v>32</v>
      </c>
      <c r="F321">
        <v>10441705</v>
      </c>
      <c r="G321" s="1">
        <v>101102000000</v>
      </c>
      <c r="H321">
        <v>13.74</v>
      </c>
      <c r="I321">
        <v>13.73</v>
      </c>
      <c r="J321">
        <v>1314.9190000000001</v>
      </c>
      <c r="K321">
        <v>-0.01</v>
      </c>
      <c r="L321">
        <v>-7.2999999999999995E-2</v>
      </c>
      <c r="M321">
        <v>19.215</v>
      </c>
      <c r="N321">
        <v>14.340999999999999</v>
      </c>
      <c r="O321">
        <v>1840.2249999999999</v>
      </c>
      <c r="P321">
        <v>88.718999999999994</v>
      </c>
      <c r="Q321">
        <v>55.006</v>
      </c>
      <c r="R321">
        <v>52.87</v>
      </c>
      <c r="S321">
        <v>53.271999999999998</v>
      </c>
      <c r="T321">
        <v>0.09</v>
      </c>
      <c r="U321">
        <v>0.65500000000000003</v>
      </c>
      <c r="V321">
        <v>13.65</v>
      </c>
      <c r="W321">
        <v>99.344999999999999</v>
      </c>
      <c r="X321">
        <v>8575.3369999999995</v>
      </c>
      <c r="Y321">
        <v>8.0500000000000007</v>
      </c>
      <c r="Z321">
        <v>38915353867</v>
      </c>
    </row>
    <row r="322" spans="1:26" hidden="1">
      <c r="A322" t="s">
        <v>58</v>
      </c>
      <c r="B322">
        <v>2008</v>
      </c>
      <c r="C322" t="s">
        <v>59</v>
      </c>
      <c r="D322" t="s">
        <v>28</v>
      </c>
      <c r="E322" t="s">
        <v>32</v>
      </c>
      <c r="F322">
        <v>10542637</v>
      </c>
      <c r="G322" s="1">
        <v>105766000000</v>
      </c>
      <c r="H322">
        <v>14.37</v>
      </c>
      <c r="I322">
        <v>14.36</v>
      </c>
      <c r="J322">
        <v>1362.088</v>
      </c>
      <c r="K322">
        <v>-0.01</v>
      </c>
      <c r="L322">
        <v>-7.0000000000000007E-2</v>
      </c>
      <c r="M322">
        <v>33.258000000000003</v>
      </c>
      <c r="N322">
        <v>15.976000000000001</v>
      </c>
      <c r="O322">
        <v>3154.6410000000001</v>
      </c>
      <c r="P322">
        <v>94.501999999999995</v>
      </c>
      <c r="Q322">
        <v>58.591000000000001</v>
      </c>
      <c r="R322">
        <v>48.311</v>
      </c>
      <c r="S322">
        <v>53.786999999999999</v>
      </c>
      <c r="T322">
        <v>7.0000000000000007E-2</v>
      </c>
      <c r="U322">
        <v>0.48699999999999999</v>
      </c>
      <c r="V322">
        <v>14.3</v>
      </c>
      <c r="W322">
        <v>99.513000000000005</v>
      </c>
      <c r="X322">
        <v>9829.7960000000003</v>
      </c>
      <c r="Y322">
        <v>8.3699999999999992</v>
      </c>
      <c r="Z322">
        <v>44859439902</v>
      </c>
    </row>
    <row r="323" spans="1:26" hidden="1">
      <c r="A323" t="s">
        <v>58</v>
      </c>
      <c r="B323">
        <v>2009</v>
      </c>
      <c r="C323" t="s">
        <v>59</v>
      </c>
      <c r="D323" t="s">
        <v>28</v>
      </c>
      <c r="E323" t="s">
        <v>32</v>
      </c>
      <c r="F323">
        <v>10650682</v>
      </c>
      <c r="G323" s="1">
        <v>109300000000</v>
      </c>
      <c r="H323">
        <v>15.26</v>
      </c>
      <c r="I323">
        <v>15.3</v>
      </c>
      <c r="J323">
        <v>1436.528</v>
      </c>
      <c r="K323">
        <v>0.04</v>
      </c>
      <c r="L323">
        <v>0.26100000000000001</v>
      </c>
      <c r="M323">
        <v>20.268000000000001</v>
      </c>
      <c r="N323">
        <v>17.117999999999999</v>
      </c>
      <c r="O323">
        <v>1903.0229999999999</v>
      </c>
      <c r="P323">
        <v>95.346999999999994</v>
      </c>
      <c r="Q323">
        <v>59.115000000000002</v>
      </c>
      <c r="R323">
        <v>45.52</v>
      </c>
      <c r="S323">
        <v>54.338000000000001</v>
      </c>
      <c r="T323">
        <v>0.18</v>
      </c>
      <c r="U323">
        <v>1.18</v>
      </c>
      <c r="V323">
        <v>15.08</v>
      </c>
      <c r="W323">
        <v>98.82</v>
      </c>
      <c r="X323">
        <v>8095.1559999999999</v>
      </c>
      <c r="Y323">
        <v>8.81</v>
      </c>
      <c r="Z323">
        <v>43455740497</v>
      </c>
    </row>
    <row r="324" spans="1:26" hidden="1">
      <c r="A324" t="s">
        <v>58</v>
      </c>
      <c r="B324">
        <v>2010</v>
      </c>
      <c r="C324" t="s">
        <v>59</v>
      </c>
      <c r="D324" t="s">
        <v>28</v>
      </c>
      <c r="E324" t="s">
        <v>32</v>
      </c>
      <c r="F324">
        <v>10765984</v>
      </c>
      <c r="G324" s="1">
        <v>112485000000</v>
      </c>
      <c r="H324">
        <v>15.89</v>
      </c>
      <c r="I324">
        <v>15.91</v>
      </c>
      <c r="J324">
        <v>1477.8030000000001</v>
      </c>
      <c r="K324">
        <v>0.02</v>
      </c>
      <c r="L324">
        <v>0.126</v>
      </c>
      <c r="M324">
        <v>22.353999999999999</v>
      </c>
      <c r="N324">
        <v>18.471</v>
      </c>
      <c r="O324">
        <v>2076.3119999999999</v>
      </c>
      <c r="P324">
        <v>98.804000000000002</v>
      </c>
      <c r="Q324">
        <v>61.258000000000003</v>
      </c>
      <c r="R324">
        <v>44.588999999999999</v>
      </c>
      <c r="S324">
        <v>54.926000000000002</v>
      </c>
      <c r="T324">
        <v>0.19</v>
      </c>
      <c r="U324">
        <v>1.196</v>
      </c>
      <c r="V324">
        <v>15.7</v>
      </c>
      <c r="W324">
        <v>98.804000000000002</v>
      </c>
      <c r="X324">
        <v>8215.607</v>
      </c>
      <c r="Y324">
        <v>9.1300000000000008</v>
      </c>
      <c r="Z324">
        <v>46206091938</v>
      </c>
    </row>
    <row r="325" spans="1:26" hidden="1">
      <c r="A325" t="s">
        <v>58</v>
      </c>
      <c r="B325">
        <v>2011</v>
      </c>
      <c r="C325" t="s">
        <v>59</v>
      </c>
      <c r="D325" t="s">
        <v>28</v>
      </c>
      <c r="E325" t="s">
        <v>32</v>
      </c>
      <c r="F325">
        <v>10886041</v>
      </c>
      <c r="G325" s="1">
        <v>110760000000</v>
      </c>
      <c r="H325">
        <v>16.3</v>
      </c>
      <c r="I325">
        <v>16.27</v>
      </c>
      <c r="J325">
        <v>1494.575</v>
      </c>
      <c r="K325">
        <v>-0.03</v>
      </c>
      <c r="L325">
        <v>-0.184</v>
      </c>
      <c r="M325">
        <v>21.251999999999999</v>
      </c>
      <c r="N325">
        <v>18.975999999999999</v>
      </c>
      <c r="O325">
        <v>1952.26</v>
      </c>
      <c r="P325">
        <v>98.956999999999994</v>
      </c>
      <c r="Q325">
        <v>61.353000000000002</v>
      </c>
      <c r="R325">
        <v>39.692999999999998</v>
      </c>
      <c r="S325">
        <v>55.539000000000001</v>
      </c>
      <c r="T325">
        <v>0.16</v>
      </c>
      <c r="U325">
        <v>0.98199999999999998</v>
      </c>
      <c r="V325">
        <v>16.14</v>
      </c>
      <c r="W325">
        <v>99.018000000000001</v>
      </c>
      <c r="X325">
        <v>7754.1710000000003</v>
      </c>
      <c r="Y325">
        <v>9.39</v>
      </c>
      <c r="Z325">
        <v>48123325825</v>
      </c>
    </row>
    <row r="326" spans="1:26" hidden="1">
      <c r="A326" t="s">
        <v>58</v>
      </c>
      <c r="B326">
        <v>2012</v>
      </c>
      <c r="C326" t="s">
        <v>59</v>
      </c>
      <c r="D326" t="s">
        <v>28</v>
      </c>
      <c r="E326" t="s">
        <v>32</v>
      </c>
      <c r="F326">
        <v>11009649</v>
      </c>
      <c r="G326" s="1">
        <v>115431000000</v>
      </c>
      <c r="H326">
        <v>17.84</v>
      </c>
      <c r="I326">
        <v>17.8</v>
      </c>
      <c r="J326">
        <v>1616.7639999999999</v>
      </c>
      <c r="K326">
        <v>-0.04</v>
      </c>
      <c r="L326">
        <v>-0.22500000000000001</v>
      </c>
      <c r="M326">
        <v>20.481999999999999</v>
      </c>
      <c r="N326">
        <v>20.623000000000001</v>
      </c>
      <c r="O326">
        <v>1860.329</v>
      </c>
      <c r="P326">
        <v>98.262</v>
      </c>
      <c r="Q326">
        <v>60.921999999999997</v>
      </c>
      <c r="R326">
        <v>39.646999999999998</v>
      </c>
      <c r="S326">
        <v>56.17</v>
      </c>
      <c r="T326">
        <v>0.31</v>
      </c>
      <c r="U326">
        <v>1.738</v>
      </c>
      <c r="V326">
        <v>17.53</v>
      </c>
      <c r="W326">
        <v>98.262</v>
      </c>
      <c r="X326">
        <v>8405.116</v>
      </c>
      <c r="Y326">
        <v>10.19</v>
      </c>
      <c r="Z326">
        <v>47311401813</v>
      </c>
    </row>
    <row r="327" spans="1:26" hidden="1">
      <c r="A327" t="s">
        <v>58</v>
      </c>
      <c r="B327">
        <v>2013</v>
      </c>
      <c r="C327" t="s">
        <v>59</v>
      </c>
      <c r="D327" t="s">
        <v>28</v>
      </c>
      <c r="E327" t="s">
        <v>32</v>
      </c>
      <c r="F327">
        <v>11141365</v>
      </c>
      <c r="G327" s="1">
        <v>118236000000</v>
      </c>
      <c r="H327">
        <v>18.14</v>
      </c>
      <c r="I327">
        <v>18.079999999999998</v>
      </c>
      <c r="J327">
        <v>1622.7809999999999</v>
      </c>
      <c r="K327">
        <v>-0.06</v>
      </c>
      <c r="L327">
        <v>-0.33200000000000002</v>
      </c>
      <c r="M327">
        <v>20.370999999999999</v>
      </c>
      <c r="N327">
        <v>20.728999999999999</v>
      </c>
      <c r="O327">
        <v>1828.453</v>
      </c>
      <c r="P327">
        <v>97.132999999999996</v>
      </c>
      <c r="Q327">
        <v>60.222000000000001</v>
      </c>
      <c r="R327">
        <v>36.378999999999998</v>
      </c>
      <c r="S327">
        <v>56.841999999999999</v>
      </c>
      <c r="T327">
        <v>0.43</v>
      </c>
      <c r="U327">
        <v>2.37</v>
      </c>
      <c r="V327">
        <v>17.71</v>
      </c>
      <c r="W327">
        <v>97.63</v>
      </c>
      <c r="X327">
        <v>8780.3150000000005</v>
      </c>
      <c r="Y327">
        <v>10.31</v>
      </c>
      <c r="Z327">
        <v>48685446414</v>
      </c>
    </row>
    <row r="328" spans="1:26" hidden="1">
      <c r="A328" t="s">
        <v>58</v>
      </c>
      <c r="B328">
        <v>2014</v>
      </c>
      <c r="C328" t="s">
        <v>59</v>
      </c>
      <c r="D328" t="s">
        <v>28</v>
      </c>
      <c r="E328" t="s">
        <v>32</v>
      </c>
      <c r="F328">
        <v>11274295</v>
      </c>
      <c r="G328" s="1">
        <v>121889000000</v>
      </c>
      <c r="H328">
        <v>18.97</v>
      </c>
      <c r="I328">
        <v>18.88</v>
      </c>
      <c r="J328">
        <v>1674.606</v>
      </c>
      <c r="K328">
        <v>-0.09</v>
      </c>
      <c r="L328">
        <v>-0.47699999999999998</v>
      </c>
      <c r="M328">
        <v>18.29</v>
      </c>
      <c r="N328">
        <v>21.212</v>
      </c>
      <c r="O328">
        <v>1622.298</v>
      </c>
      <c r="P328">
        <v>95.045000000000002</v>
      </c>
      <c r="Q328">
        <v>58.927999999999997</v>
      </c>
      <c r="R328">
        <v>33.762</v>
      </c>
      <c r="S328">
        <v>57.52</v>
      </c>
      <c r="T328">
        <v>0.59</v>
      </c>
      <c r="U328">
        <v>3.11</v>
      </c>
      <c r="V328">
        <v>18.38</v>
      </c>
      <c r="W328">
        <v>96.89</v>
      </c>
      <c r="X328">
        <v>9543.2880000000005</v>
      </c>
      <c r="Y328">
        <v>10.71</v>
      </c>
      <c r="Z328">
        <v>50271812921</v>
      </c>
    </row>
    <row r="329" spans="1:26" hidden="1">
      <c r="A329" t="s">
        <v>58</v>
      </c>
      <c r="B329">
        <v>2015</v>
      </c>
      <c r="C329" t="s">
        <v>59</v>
      </c>
      <c r="D329" t="s">
        <v>28</v>
      </c>
      <c r="E329" t="s">
        <v>32</v>
      </c>
      <c r="F329">
        <v>11402270</v>
      </c>
      <c r="G329" s="1">
        <v>123069000000</v>
      </c>
      <c r="H329">
        <v>19.48</v>
      </c>
      <c r="I329">
        <v>19.38</v>
      </c>
      <c r="J329">
        <v>1699.6610000000001</v>
      </c>
      <c r="K329">
        <v>-0.1</v>
      </c>
      <c r="L329">
        <v>-0.51600000000000001</v>
      </c>
      <c r="M329">
        <v>17.343</v>
      </c>
      <c r="N329">
        <v>21.164999999999999</v>
      </c>
      <c r="O329">
        <v>1521.0360000000001</v>
      </c>
      <c r="P329">
        <v>92.350999999999999</v>
      </c>
      <c r="Q329">
        <v>57.258000000000003</v>
      </c>
      <c r="R329">
        <v>30.552</v>
      </c>
      <c r="S329">
        <v>58.173000000000002</v>
      </c>
      <c r="T329">
        <v>0.57999999999999996</v>
      </c>
      <c r="U329">
        <v>2.9769999999999999</v>
      </c>
      <c r="V329">
        <v>18.899999999999999</v>
      </c>
      <c r="W329">
        <v>97.022999999999996</v>
      </c>
      <c r="X329">
        <v>9753.8739999999998</v>
      </c>
      <c r="Y329">
        <v>11.06</v>
      </c>
      <c r="Z329">
        <v>45779494042</v>
      </c>
    </row>
    <row r="330" spans="1:26" hidden="1">
      <c r="A330" t="s">
        <v>58</v>
      </c>
      <c r="B330">
        <v>2016</v>
      </c>
      <c r="C330" t="s">
        <v>59</v>
      </c>
      <c r="D330" t="s">
        <v>28</v>
      </c>
      <c r="E330" t="s">
        <v>32</v>
      </c>
      <c r="F330">
        <v>11528676</v>
      </c>
      <c r="G330" s="1">
        <v>124444000000</v>
      </c>
      <c r="H330">
        <v>19.63</v>
      </c>
      <c r="I330">
        <v>19.510000000000002</v>
      </c>
      <c r="J330">
        <v>1692.3019999999999</v>
      </c>
      <c r="K330">
        <v>-0.12</v>
      </c>
      <c r="L330">
        <v>-0.61499999999999999</v>
      </c>
      <c r="M330">
        <v>15.074999999999999</v>
      </c>
      <c r="N330">
        <v>22.306000000000001</v>
      </c>
      <c r="O330">
        <v>1307.5999999999999</v>
      </c>
      <c r="P330">
        <v>96.587000000000003</v>
      </c>
      <c r="Q330">
        <v>59.884</v>
      </c>
      <c r="R330">
        <v>28.260999999999999</v>
      </c>
      <c r="S330">
        <v>58.817999999999998</v>
      </c>
      <c r="T330">
        <v>0.63</v>
      </c>
      <c r="U330">
        <v>3.2090000000000001</v>
      </c>
      <c r="V330">
        <v>19</v>
      </c>
      <c r="W330">
        <v>96.790999999999997</v>
      </c>
      <c r="X330">
        <v>9623.3960000000006</v>
      </c>
      <c r="Y330">
        <v>11.06</v>
      </c>
      <c r="Z330">
        <v>44360072680</v>
      </c>
    </row>
    <row r="331" spans="1:26" hidden="1">
      <c r="A331" t="s">
        <v>58</v>
      </c>
      <c r="B331">
        <v>2017</v>
      </c>
      <c r="C331" t="s">
        <v>59</v>
      </c>
      <c r="D331" t="s">
        <v>28</v>
      </c>
      <c r="E331" t="s">
        <v>32</v>
      </c>
      <c r="F331">
        <v>11650504</v>
      </c>
      <c r="G331" s="1">
        <v>127229000000</v>
      </c>
      <c r="H331">
        <v>20.58</v>
      </c>
      <c r="I331">
        <v>20.55</v>
      </c>
      <c r="J331">
        <v>1763.8720000000001</v>
      </c>
      <c r="K331">
        <v>-0.03</v>
      </c>
      <c r="L331">
        <v>-0.14599999999999999</v>
      </c>
      <c r="M331">
        <v>14.074</v>
      </c>
      <c r="N331">
        <v>23.187999999999999</v>
      </c>
      <c r="O331">
        <v>1208.0160000000001</v>
      </c>
      <c r="P331">
        <v>95.772999999999996</v>
      </c>
      <c r="Q331">
        <v>59.378999999999998</v>
      </c>
      <c r="R331">
        <v>23.888000000000002</v>
      </c>
      <c r="S331">
        <v>59.439</v>
      </c>
      <c r="T331">
        <v>0.6</v>
      </c>
      <c r="U331">
        <v>2.915</v>
      </c>
      <c r="V331">
        <v>19.98</v>
      </c>
      <c r="W331">
        <v>97.084999999999994</v>
      </c>
      <c r="X331">
        <v>10090.969999999999</v>
      </c>
      <c r="Y331">
        <v>11.65</v>
      </c>
      <c r="Z331">
        <v>42163530591</v>
      </c>
    </row>
    <row r="332" spans="1:26" hidden="1">
      <c r="A332" t="s">
        <v>58</v>
      </c>
      <c r="B332">
        <v>2018</v>
      </c>
      <c r="C332" t="s">
        <v>59</v>
      </c>
      <c r="D332" t="s">
        <v>28</v>
      </c>
      <c r="E332" t="s">
        <v>32</v>
      </c>
      <c r="F332">
        <v>11765515</v>
      </c>
      <c r="G332" s="1">
        <v>130569000000</v>
      </c>
      <c r="H332">
        <v>20.92</v>
      </c>
      <c r="I332">
        <v>20.82</v>
      </c>
      <c r="J332">
        <v>1769.578</v>
      </c>
      <c r="K332">
        <v>-0.1</v>
      </c>
      <c r="L332">
        <v>-0.48</v>
      </c>
      <c r="M332">
        <v>13.14</v>
      </c>
      <c r="N332">
        <v>23.577000000000002</v>
      </c>
      <c r="O332">
        <v>1116.8230000000001</v>
      </c>
      <c r="P332">
        <v>95.793999999999997</v>
      </c>
      <c r="Q332">
        <v>59.392000000000003</v>
      </c>
      <c r="R332">
        <v>23.109000000000002</v>
      </c>
      <c r="S332">
        <v>60.026000000000003</v>
      </c>
      <c r="T332">
        <v>0.55000000000000004</v>
      </c>
      <c r="U332">
        <v>2.629</v>
      </c>
      <c r="V332">
        <v>20.37</v>
      </c>
      <c r="W332">
        <v>97.370999999999995</v>
      </c>
      <c r="X332">
        <v>10194.450999999999</v>
      </c>
      <c r="Y332">
        <v>11.87</v>
      </c>
      <c r="Z332">
        <v>42686504460</v>
      </c>
    </row>
    <row r="333" spans="1:26" hidden="1">
      <c r="A333" t="s">
        <v>58</v>
      </c>
      <c r="B333">
        <v>2019</v>
      </c>
      <c r="C333" t="s">
        <v>59</v>
      </c>
      <c r="D333" t="s">
        <v>28</v>
      </c>
      <c r="E333" t="s">
        <v>32</v>
      </c>
      <c r="F333">
        <v>11875084</v>
      </c>
      <c r="G333" s="1">
        <v>132642000000</v>
      </c>
      <c r="H333">
        <v>22.02</v>
      </c>
      <c r="I333">
        <v>21.86</v>
      </c>
      <c r="J333">
        <v>1840.829</v>
      </c>
      <c r="K333">
        <v>-0.16</v>
      </c>
      <c r="L333">
        <v>-0.73199999999999998</v>
      </c>
      <c r="M333">
        <v>12.268000000000001</v>
      </c>
      <c r="N333">
        <v>24.718</v>
      </c>
      <c r="O333">
        <v>1033.087</v>
      </c>
      <c r="P333">
        <v>95.412999999999997</v>
      </c>
      <c r="Q333">
        <v>59.155999999999999</v>
      </c>
      <c r="R333">
        <v>21.213000000000001</v>
      </c>
      <c r="S333">
        <v>60.585000000000001</v>
      </c>
      <c r="T333">
        <v>0.69</v>
      </c>
      <c r="U333">
        <v>3.1339999999999999</v>
      </c>
      <c r="V333">
        <v>21.33</v>
      </c>
      <c r="W333">
        <v>96.866</v>
      </c>
      <c r="X333">
        <v>10254.706</v>
      </c>
      <c r="Y333">
        <v>12.44</v>
      </c>
      <c r="Z333">
        <v>41905642419</v>
      </c>
    </row>
    <row r="334" spans="1:26" hidden="1">
      <c r="A334" t="s">
        <v>58</v>
      </c>
      <c r="B334">
        <v>2020</v>
      </c>
      <c r="C334" t="s">
        <v>59</v>
      </c>
      <c r="D334" t="s">
        <v>28</v>
      </c>
      <c r="E334" t="s">
        <v>32</v>
      </c>
      <c r="F334">
        <v>11974058</v>
      </c>
      <c r="G334" s="1">
        <v>120946000000</v>
      </c>
      <c r="H334">
        <v>21.38</v>
      </c>
      <c r="I334">
        <v>20.78</v>
      </c>
      <c r="J334">
        <v>1735.4179999999999</v>
      </c>
      <c r="K334">
        <v>-0.6</v>
      </c>
      <c r="L334">
        <v>-2.887</v>
      </c>
      <c r="M334">
        <v>11.454000000000001</v>
      </c>
      <c r="N334">
        <v>24.082000000000001</v>
      </c>
      <c r="O334">
        <v>956.56799999999998</v>
      </c>
      <c r="P334">
        <v>95.744</v>
      </c>
      <c r="Q334">
        <v>59.360999999999997</v>
      </c>
      <c r="R334">
        <v>19.608000000000001</v>
      </c>
      <c r="S334">
        <v>61.09</v>
      </c>
      <c r="T334">
        <v>0.67</v>
      </c>
      <c r="U334">
        <v>3.1339999999999999</v>
      </c>
      <c r="V334">
        <v>20.71</v>
      </c>
      <c r="W334">
        <v>96.866</v>
      </c>
      <c r="X334">
        <v>9381.0910000000003</v>
      </c>
      <c r="Y334">
        <v>12.07</v>
      </c>
      <c r="Z334">
        <v>42491780918</v>
      </c>
    </row>
    <row r="335" spans="1:26" hidden="1">
      <c r="A335" t="s">
        <v>58</v>
      </c>
      <c r="B335">
        <v>2021</v>
      </c>
      <c r="C335" t="s">
        <v>59</v>
      </c>
      <c r="D335" t="s">
        <v>28</v>
      </c>
      <c r="E335" t="s">
        <v>32</v>
      </c>
      <c r="F335">
        <v>12048625</v>
      </c>
      <c r="G335" s="1">
        <v>126273000000</v>
      </c>
      <c r="H335">
        <v>21.9</v>
      </c>
      <c r="I335">
        <v>22.93</v>
      </c>
      <c r="J335">
        <v>1903.1220000000001</v>
      </c>
      <c r="K335">
        <v>1.03</v>
      </c>
      <c r="L335">
        <v>4.492</v>
      </c>
      <c r="M335">
        <v>10.693</v>
      </c>
      <c r="N335">
        <v>24.67</v>
      </c>
      <c r="O335">
        <v>887.48699999999997</v>
      </c>
      <c r="P335">
        <v>95.753</v>
      </c>
      <c r="Q335">
        <v>59.366999999999997</v>
      </c>
      <c r="R335">
        <v>24.19</v>
      </c>
      <c r="S335">
        <v>61.47</v>
      </c>
      <c r="T335">
        <v>0.68</v>
      </c>
      <c r="U335">
        <v>3.105</v>
      </c>
      <c r="V335">
        <v>21.22</v>
      </c>
      <c r="W335">
        <v>96.894999999999996</v>
      </c>
      <c r="X335">
        <v>10189.536</v>
      </c>
      <c r="Y335">
        <v>12.36</v>
      </c>
      <c r="Z335">
        <v>47073234359</v>
      </c>
    </row>
    <row r="336" spans="1:26" hidden="1">
      <c r="A336" t="s">
        <v>58</v>
      </c>
      <c r="B336">
        <v>2022</v>
      </c>
      <c r="C336" t="s">
        <v>59</v>
      </c>
      <c r="D336" t="s">
        <v>28</v>
      </c>
      <c r="E336" t="s">
        <v>32</v>
      </c>
      <c r="F336">
        <v>12119338</v>
      </c>
      <c r="G336" s="1">
        <v>129458000000</v>
      </c>
      <c r="H336">
        <v>21.41</v>
      </c>
      <c r="I336">
        <v>23.98</v>
      </c>
      <c r="J336">
        <v>1978.6559999999999</v>
      </c>
      <c r="K336">
        <v>2.57</v>
      </c>
      <c r="L336">
        <v>10.717000000000001</v>
      </c>
      <c r="M336">
        <v>9.984</v>
      </c>
      <c r="N336">
        <v>24.140999999999998</v>
      </c>
      <c r="O336">
        <v>823.80700000000002</v>
      </c>
      <c r="P336">
        <v>95.843000000000004</v>
      </c>
      <c r="Q336">
        <v>59.423000000000002</v>
      </c>
      <c r="R336">
        <v>20.434000000000001</v>
      </c>
      <c r="S336">
        <v>61.831000000000003</v>
      </c>
      <c r="T336">
        <v>0.65</v>
      </c>
      <c r="U336">
        <v>3.036</v>
      </c>
      <c r="V336">
        <v>20.76</v>
      </c>
      <c r="W336">
        <v>96.963999999999999</v>
      </c>
      <c r="X336">
        <v>10087.191000000001</v>
      </c>
      <c r="Y336">
        <v>12.11</v>
      </c>
      <c r="Z336">
        <v>44929920093</v>
      </c>
    </row>
    <row r="337" spans="1:26" hidden="1">
      <c r="A337" t="s">
        <v>58</v>
      </c>
      <c r="B337">
        <v>2023</v>
      </c>
      <c r="C337" t="s">
        <v>59</v>
      </c>
      <c r="D337" t="s">
        <v>28</v>
      </c>
      <c r="E337" t="s">
        <v>32</v>
      </c>
      <c r="F337">
        <v>12200434</v>
      </c>
      <c r="G337" s="1">
        <v>135138000000</v>
      </c>
      <c r="H337">
        <v>21.28</v>
      </c>
      <c r="I337">
        <v>23.78</v>
      </c>
      <c r="J337">
        <v>1949.1110000000001</v>
      </c>
      <c r="K337">
        <v>2.5</v>
      </c>
      <c r="L337">
        <v>10.513</v>
      </c>
      <c r="M337">
        <v>9.3209999999999997</v>
      </c>
      <c r="N337">
        <v>23.8</v>
      </c>
      <c r="O337">
        <v>763.98900000000003</v>
      </c>
      <c r="P337">
        <v>95.066000000000003</v>
      </c>
      <c r="Q337">
        <v>58.941000000000003</v>
      </c>
      <c r="R337">
        <v>19.829000000000001</v>
      </c>
      <c r="S337">
        <v>62.244999999999997</v>
      </c>
      <c r="T337">
        <v>0.84</v>
      </c>
      <c r="U337">
        <v>3.9470000000000001</v>
      </c>
      <c r="V337">
        <v>20.440000000000001</v>
      </c>
      <c r="W337">
        <v>96.052999999999997</v>
      </c>
      <c r="X337">
        <v>9892.2070000000003</v>
      </c>
      <c r="Y337">
        <v>11.92</v>
      </c>
      <c r="Z337">
        <v>48205328303</v>
      </c>
    </row>
    <row r="338" spans="1:26" hidden="1">
      <c r="A338" t="s">
        <v>60</v>
      </c>
      <c r="B338">
        <v>2000</v>
      </c>
      <c r="C338" t="s">
        <v>61</v>
      </c>
      <c r="D338" t="s">
        <v>62</v>
      </c>
      <c r="E338" t="s">
        <v>29</v>
      </c>
      <c r="F338">
        <v>65425957</v>
      </c>
      <c r="G338" s="1">
        <v>785055000000</v>
      </c>
      <c r="H338">
        <v>124.38</v>
      </c>
      <c r="I338">
        <v>127.73</v>
      </c>
      <c r="J338">
        <v>1952.2829999999999</v>
      </c>
      <c r="K338">
        <v>3.35</v>
      </c>
      <c r="L338">
        <v>2.6230000000000002</v>
      </c>
      <c r="M338">
        <v>6.8049999999999997</v>
      </c>
      <c r="N338">
        <v>139.46899999999999</v>
      </c>
      <c r="O338">
        <v>104.00700000000001</v>
      </c>
      <c r="P338">
        <v>37.417999999999999</v>
      </c>
      <c r="Q338">
        <v>16.254999999999999</v>
      </c>
      <c r="R338">
        <v>33.795999999999999</v>
      </c>
      <c r="S338">
        <v>370.69900000000001</v>
      </c>
      <c r="T338">
        <v>31.16</v>
      </c>
      <c r="U338">
        <v>25.052</v>
      </c>
      <c r="V338">
        <v>93.22</v>
      </c>
      <c r="W338">
        <v>74.947999999999993</v>
      </c>
      <c r="X338">
        <v>13198.735000000001</v>
      </c>
      <c r="Y338">
        <v>71.41</v>
      </c>
      <c r="Z338" s="1">
        <v>274748000000</v>
      </c>
    </row>
    <row r="339" spans="1:26" hidden="1">
      <c r="A339" t="s">
        <v>60</v>
      </c>
      <c r="B339">
        <v>2001</v>
      </c>
      <c r="C339" t="s">
        <v>61</v>
      </c>
      <c r="D339" t="s">
        <v>62</v>
      </c>
      <c r="E339" t="s">
        <v>29</v>
      </c>
      <c r="F339">
        <v>66245125</v>
      </c>
      <c r="G339" s="1">
        <v>732285000000</v>
      </c>
      <c r="H339">
        <v>122.24</v>
      </c>
      <c r="I339">
        <v>126.39</v>
      </c>
      <c r="J339">
        <v>1907.914</v>
      </c>
      <c r="K339">
        <v>4.1500000000000004</v>
      </c>
      <c r="L339">
        <v>3.2829999999999999</v>
      </c>
      <c r="M339">
        <v>3.3220000000000001</v>
      </c>
      <c r="N339">
        <v>153.459</v>
      </c>
      <c r="O339">
        <v>50.155000000000001</v>
      </c>
      <c r="P339">
        <v>40.665999999999997</v>
      </c>
      <c r="Q339">
        <v>19.667999999999999</v>
      </c>
      <c r="R339">
        <v>30.712</v>
      </c>
      <c r="S339">
        <v>344.84300000000002</v>
      </c>
      <c r="T339">
        <v>24.34</v>
      </c>
      <c r="U339">
        <v>19.911999999999999</v>
      </c>
      <c r="V339">
        <v>97.9</v>
      </c>
      <c r="W339">
        <v>80.087999999999994</v>
      </c>
      <c r="X339">
        <v>11841.918</v>
      </c>
      <c r="Y339">
        <v>73.989999999999995</v>
      </c>
      <c r="Z339" s="1">
        <v>202195000000</v>
      </c>
    </row>
    <row r="340" spans="1:26" hidden="1">
      <c r="A340" t="s">
        <v>60</v>
      </c>
      <c r="B340">
        <v>2002</v>
      </c>
      <c r="C340" t="s">
        <v>61</v>
      </c>
      <c r="D340" t="s">
        <v>62</v>
      </c>
      <c r="E340" t="s">
        <v>29</v>
      </c>
      <c r="F340">
        <v>67048792</v>
      </c>
      <c r="G340" s="1">
        <v>796073000000</v>
      </c>
      <c r="H340">
        <v>128.46</v>
      </c>
      <c r="I340">
        <v>131.61000000000001</v>
      </c>
      <c r="J340">
        <v>1962.8989999999999</v>
      </c>
      <c r="K340">
        <v>3.15</v>
      </c>
      <c r="L340">
        <v>2.3929999999999998</v>
      </c>
      <c r="M340">
        <v>4.0250000000000004</v>
      </c>
      <c r="N340">
        <v>166.39400000000001</v>
      </c>
      <c r="O340">
        <v>60.036000000000001</v>
      </c>
      <c r="P340">
        <v>40.892000000000003</v>
      </c>
      <c r="Q340">
        <v>19.503</v>
      </c>
      <c r="R340">
        <v>29.863</v>
      </c>
      <c r="S340">
        <v>369.48200000000003</v>
      </c>
      <c r="T340">
        <v>33.96</v>
      </c>
      <c r="U340">
        <v>26.436</v>
      </c>
      <c r="V340">
        <v>94.5</v>
      </c>
      <c r="W340">
        <v>73.563999999999993</v>
      </c>
      <c r="X340">
        <v>12814.346</v>
      </c>
      <c r="Y340">
        <v>68.91</v>
      </c>
      <c r="Z340" s="1">
        <v>240778000000</v>
      </c>
    </row>
    <row r="341" spans="1:26" hidden="1">
      <c r="A341" t="s">
        <v>60</v>
      </c>
      <c r="B341">
        <v>2003</v>
      </c>
      <c r="C341" t="s">
        <v>61</v>
      </c>
      <c r="D341" t="s">
        <v>62</v>
      </c>
      <c r="E341" t="s">
        <v>29</v>
      </c>
      <c r="F341">
        <v>67831735</v>
      </c>
      <c r="G341" s="1">
        <v>848550000000</v>
      </c>
      <c r="H341">
        <v>139.54</v>
      </c>
      <c r="I341">
        <v>140.11000000000001</v>
      </c>
      <c r="J341">
        <v>2065.5520000000001</v>
      </c>
      <c r="K341">
        <v>0.56999999999999995</v>
      </c>
      <c r="L341">
        <v>0.40699999999999997</v>
      </c>
      <c r="M341">
        <v>5.9630000000000001</v>
      </c>
      <c r="N341">
        <v>200.48099999999999</v>
      </c>
      <c r="O341">
        <v>87.915000000000006</v>
      </c>
      <c r="P341">
        <v>45.534999999999997</v>
      </c>
      <c r="Q341">
        <v>22.196000000000002</v>
      </c>
      <c r="R341">
        <v>28.901</v>
      </c>
      <c r="S341">
        <v>363.709</v>
      </c>
      <c r="T341">
        <v>35.56</v>
      </c>
      <c r="U341">
        <v>25.484000000000002</v>
      </c>
      <c r="V341">
        <v>103.98</v>
      </c>
      <c r="W341">
        <v>74.516000000000005</v>
      </c>
      <c r="X341">
        <v>13406.965</v>
      </c>
      <c r="Y341">
        <v>73.23</v>
      </c>
      <c r="Z341" s="1">
        <v>315393000000</v>
      </c>
    </row>
    <row r="342" spans="1:26" hidden="1">
      <c r="A342" t="s">
        <v>60</v>
      </c>
      <c r="B342">
        <v>2004</v>
      </c>
      <c r="C342" t="s">
        <v>61</v>
      </c>
      <c r="D342" t="s">
        <v>62</v>
      </c>
      <c r="E342" t="s">
        <v>29</v>
      </c>
      <c r="F342">
        <v>68592621</v>
      </c>
      <c r="G342" s="1">
        <v>931153000000</v>
      </c>
      <c r="H342">
        <v>149.75</v>
      </c>
      <c r="I342">
        <v>149.07</v>
      </c>
      <c r="J342">
        <v>2173.2660000000001</v>
      </c>
      <c r="K342">
        <v>-0.68</v>
      </c>
      <c r="L342">
        <v>-0.45600000000000002</v>
      </c>
      <c r="M342">
        <v>7.327</v>
      </c>
      <c r="N342">
        <v>211.684</v>
      </c>
      <c r="O342">
        <v>106.812</v>
      </c>
      <c r="P342">
        <v>41.582999999999998</v>
      </c>
      <c r="Q342">
        <v>21.914999999999999</v>
      </c>
      <c r="R342">
        <v>27.216000000000001</v>
      </c>
      <c r="S342">
        <v>371.83300000000003</v>
      </c>
      <c r="T342">
        <v>46.31</v>
      </c>
      <c r="U342">
        <v>30.925000000000001</v>
      </c>
      <c r="V342">
        <v>103.44</v>
      </c>
      <c r="W342">
        <v>69.075000000000003</v>
      </c>
      <c r="X342">
        <v>14197.467000000001</v>
      </c>
      <c r="Y342">
        <v>74.010000000000005</v>
      </c>
      <c r="Z342" s="1">
        <v>410157000000</v>
      </c>
    </row>
    <row r="343" spans="1:26" hidden="1">
      <c r="A343" t="s">
        <v>60</v>
      </c>
      <c r="B343">
        <v>2005</v>
      </c>
      <c r="C343" t="s">
        <v>61</v>
      </c>
      <c r="D343" t="s">
        <v>62</v>
      </c>
      <c r="E343" t="s">
        <v>29</v>
      </c>
      <c r="F343">
        <v>69329557</v>
      </c>
      <c r="G343" s="1">
        <v>1017380000000</v>
      </c>
      <c r="H343">
        <v>161.63</v>
      </c>
      <c r="I343">
        <v>160.47</v>
      </c>
      <c r="J343">
        <v>2314.5970000000002</v>
      </c>
      <c r="K343">
        <v>-1.1599999999999999</v>
      </c>
      <c r="L343">
        <v>-0.72299999999999998</v>
      </c>
      <c r="M343">
        <v>9.5519999999999996</v>
      </c>
      <c r="N343">
        <v>257.23200000000003</v>
      </c>
      <c r="O343">
        <v>137.779</v>
      </c>
      <c r="P343">
        <v>45.462000000000003</v>
      </c>
      <c r="Q343">
        <v>26.004000000000001</v>
      </c>
      <c r="R343">
        <v>27.942</v>
      </c>
      <c r="S343">
        <v>367.38200000000001</v>
      </c>
      <c r="T343">
        <v>39.74</v>
      </c>
      <c r="U343">
        <v>24.587</v>
      </c>
      <c r="V343">
        <v>121.89</v>
      </c>
      <c r="W343">
        <v>75.412999999999997</v>
      </c>
      <c r="X343">
        <v>14367.83</v>
      </c>
      <c r="Y343">
        <v>87.86</v>
      </c>
      <c r="Z343" s="1">
        <v>508314000000</v>
      </c>
    </row>
    <row r="344" spans="1:26" hidden="1">
      <c r="A344" t="s">
        <v>60</v>
      </c>
      <c r="B344">
        <v>2006</v>
      </c>
      <c r="C344" t="s">
        <v>61</v>
      </c>
      <c r="D344" t="s">
        <v>62</v>
      </c>
      <c r="E344" t="s">
        <v>29</v>
      </c>
      <c r="F344">
        <v>70045351</v>
      </c>
      <c r="G344" s="1">
        <v>1096830000000</v>
      </c>
      <c r="H344">
        <v>176.25</v>
      </c>
      <c r="I344">
        <v>174.59</v>
      </c>
      <c r="J344">
        <v>2492.5279999999998</v>
      </c>
      <c r="K344">
        <v>-1.66</v>
      </c>
      <c r="L344">
        <v>-0.95099999999999996</v>
      </c>
      <c r="M344">
        <v>9.6370000000000005</v>
      </c>
      <c r="N344">
        <v>291.97000000000003</v>
      </c>
      <c r="O344">
        <v>137.58799999999999</v>
      </c>
      <c r="P344">
        <v>45.781999999999996</v>
      </c>
      <c r="Q344">
        <v>26.603999999999999</v>
      </c>
      <c r="R344">
        <v>26.974</v>
      </c>
      <c r="S344">
        <v>381.827</v>
      </c>
      <c r="T344">
        <v>44.52</v>
      </c>
      <c r="U344">
        <v>25.26</v>
      </c>
      <c r="V344">
        <v>131.72999999999999</v>
      </c>
      <c r="W344">
        <v>74.739999999999995</v>
      </c>
      <c r="X344">
        <v>15776.227999999999</v>
      </c>
      <c r="Y344">
        <v>94.73</v>
      </c>
      <c r="Z344" s="1">
        <v>559668000000</v>
      </c>
    </row>
    <row r="345" spans="1:26" hidden="1">
      <c r="A345" t="s">
        <v>60</v>
      </c>
      <c r="B345">
        <v>2007</v>
      </c>
      <c r="C345" t="s">
        <v>61</v>
      </c>
      <c r="D345" t="s">
        <v>62</v>
      </c>
      <c r="E345" t="s">
        <v>29</v>
      </c>
      <c r="F345">
        <v>70750593</v>
      </c>
      <c r="G345" s="1">
        <v>1158410000000</v>
      </c>
      <c r="H345">
        <v>191.52</v>
      </c>
      <c r="I345">
        <v>189.96</v>
      </c>
      <c r="J345">
        <v>2684.9250000000002</v>
      </c>
      <c r="K345">
        <v>-1.56</v>
      </c>
      <c r="L345">
        <v>-0.82099999999999995</v>
      </c>
      <c r="M345">
        <v>9.51</v>
      </c>
      <c r="N345">
        <v>338.90699999999998</v>
      </c>
      <c r="O345">
        <v>134.41</v>
      </c>
      <c r="P345">
        <v>49.619</v>
      </c>
      <c r="Q345">
        <v>29.024000000000001</v>
      </c>
      <c r="R345">
        <v>26.234999999999999</v>
      </c>
      <c r="S345">
        <v>388.9</v>
      </c>
      <c r="T345">
        <v>36.46</v>
      </c>
      <c r="U345">
        <v>19.036999999999999</v>
      </c>
      <c r="V345">
        <v>155.06</v>
      </c>
      <c r="W345">
        <v>80.962999999999994</v>
      </c>
      <c r="X345">
        <v>16589.539000000001</v>
      </c>
      <c r="Y345">
        <v>110.66</v>
      </c>
      <c r="Z345" s="1">
        <v>685228000000</v>
      </c>
    </row>
    <row r="346" spans="1:26" hidden="1">
      <c r="A346" t="s">
        <v>60</v>
      </c>
      <c r="B346">
        <v>2008</v>
      </c>
      <c r="C346" t="s">
        <v>61</v>
      </c>
      <c r="D346" t="s">
        <v>62</v>
      </c>
      <c r="E346" t="s">
        <v>29</v>
      </c>
      <c r="F346">
        <v>71562343</v>
      </c>
      <c r="G346" s="1">
        <v>1179870000000</v>
      </c>
      <c r="H346">
        <v>198.37</v>
      </c>
      <c r="I346">
        <v>198.04</v>
      </c>
      <c r="J346">
        <v>2767.377</v>
      </c>
      <c r="K346">
        <v>-0.33</v>
      </c>
      <c r="L346">
        <v>-0.16700000000000001</v>
      </c>
      <c r="M346">
        <v>10.840999999999999</v>
      </c>
      <c r="N346">
        <v>352.98200000000003</v>
      </c>
      <c r="O346">
        <v>151.48500000000001</v>
      </c>
      <c r="P346">
        <v>49.744999999999997</v>
      </c>
      <c r="Q346">
        <v>30.146999999999998</v>
      </c>
      <c r="R346">
        <v>26.68</v>
      </c>
      <c r="S346">
        <v>382.55900000000003</v>
      </c>
      <c r="T346">
        <v>34.42</v>
      </c>
      <c r="U346">
        <v>17.350999999999999</v>
      </c>
      <c r="V346">
        <v>163.95</v>
      </c>
      <c r="W346">
        <v>82.649000000000001</v>
      </c>
      <c r="X346">
        <v>16442.740000000002</v>
      </c>
      <c r="Y346">
        <v>117.74</v>
      </c>
      <c r="Z346" s="1">
        <v>775416000000</v>
      </c>
    </row>
    <row r="347" spans="1:26" hidden="1">
      <c r="A347" t="s">
        <v>60</v>
      </c>
      <c r="B347">
        <v>2009</v>
      </c>
      <c r="C347" t="s">
        <v>61</v>
      </c>
      <c r="D347" t="s">
        <v>62</v>
      </c>
      <c r="E347" t="s">
        <v>29</v>
      </c>
      <c r="F347">
        <v>72464846</v>
      </c>
      <c r="G347" s="1">
        <v>1122760000000</v>
      </c>
      <c r="H347">
        <v>194.81</v>
      </c>
      <c r="I347">
        <v>194.08</v>
      </c>
      <c r="J347">
        <v>2678.2640000000001</v>
      </c>
      <c r="K347">
        <v>-0.73</v>
      </c>
      <c r="L347">
        <v>-0.376</v>
      </c>
      <c r="M347">
        <v>7.2910000000000004</v>
      </c>
      <c r="N347">
        <v>337.22199999999998</v>
      </c>
      <c r="O347">
        <v>100.61499999999999</v>
      </c>
      <c r="P347">
        <v>49.33</v>
      </c>
      <c r="Q347">
        <v>28.419</v>
      </c>
      <c r="R347">
        <v>29.562999999999999</v>
      </c>
      <c r="S347">
        <v>389.52699999999999</v>
      </c>
      <c r="T347">
        <v>38.15</v>
      </c>
      <c r="U347">
        <v>19.582999999999998</v>
      </c>
      <c r="V347">
        <v>156.66</v>
      </c>
      <c r="W347">
        <v>80.417000000000002</v>
      </c>
      <c r="X347">
        <v>16459.546999999999</v>
      </c>
      <c r="Y347">
        <v>112.41</v>
      </c>
      <c r="Z347" s="1">
        <v>653894000000</v>
      </c>
    </row>
    <row r="348" spans="1:26" hidden="1">
      <c r="A348" t="s">
        <v>60</v>
      </c>
      <c r="B348">
        <v>2010</v>
      </c>
      <c r="C348" t="s">
        <v>61</v>
      </c>
      <c r="D348" t="s">
        <v>62</v>
      </c>
      <c r="E348" t="s">
        <v>29</v>
      </c>
      <c r="F348">
        <v>73346766</v>
      </c>
      <c r="G348" s="1">
        <v>1240500000000</v>
      </c>
      <c r="H348">
        <v>211.18</v>
      </c>
      <c r="I348">
        <v>210.41</v>
      </c>
      <c r="J348">
        <v>2868.7020000000002</v>
      </c>
      <c r="K348">
        <v>-0.77</v>
      </c>
      <c r="L348">
        <v>-0.36599999999999999</v>
      </c>
      <c r="M348">
        <v>7.266</v>
      </c>
      <c r="N348">
        <v>358.21</v>
      </c>
      <c r="O348">
        <v>99.058999999999997</v>
      </c>
      <c r="P348">
        <v>46.472000000000001</v>
      </c>
      <c r="Q348">
        <v>28.792999999999999</v>
      </c>
      <c r="R348">
        <v>30.927</v>
      </c>
      <c r="S348">
        <v>374.55399999999997</v>
      </c>
      <c r="T348">
        <v>55.72</v>
      </c>
      <c r="U348">
        <v>26.385000000000002</v>
      </c>
      <c r="V348">
        <v>155.46</v>
      </c>
      <c r="W348">
        <v>73.614999999999995</v>
      </c>
      <c r="X348">
        <v>17085.506000000001</v>
      </c>
      <c r="Y348">
        <v>110.88</v>
      </c>
      <c r="Z348" s="1">
        <v>782546000000</v>
      </c>
    </row>
    <row r="349" spans="1:26" hidden="1">
      <c r="A349" t="s">
        <v>60</v>
      </c>
      <c r="B349">
        <v>2011</v>
      </c>
      <c r="C349" t="s">
        <v>61</v>
      </c>
      <c r="D349" t="s">
        <v>62</v>
      </c>
      <c r="E349" t="s">
        <v>29</v>
      </c>
      <c r="F349">
        <v>74215203</v>
      </c>
      <c r="G349" s="1">
        <v>1364780000000</v>
      </c>
      <c r="H349">
        <v>229.39</v>
      </c>
      <c r="I349">
        <v>230.3</v>
      </c>
      <c r="J349">
        <v>3103.1379999999999</v>
      </c>
      <c r="K349">
        <v>0.91</v>
      </c>
      <c r="L349">
        <v>0.39500000000000002</v>
      </c>
      <c r="M349">
        <v>8.0890000000000004</v>
      </c>
      <c r="N349">
        <v>418.399</v>
      </c>
      <c r="O349">
        <v>108.992</v>
      </c>
      <c r="P349">
        <v>45.359000000000002</v>
      </c>
      <c r="Q349">
        <v>31.512</v>
      </c>
      <c r="R349">
        <v>29.263000000000002</v>
      </c>
      <c r="S349">
        <v>364.07900000000001</v>
      </c>
      <c r="T349">
        <v>58.09</v>
      </c>
      <c r="U349">
        <v>25.324000000000002</v>
      </c>
      <c r="V349">
        <v>171.3</v>
      </c>
      <c r="W349">
        <v>74.676000000000002</v>
      </c>
      <c r="X349">
        <v>18015.532999999999</v>
      </c>
      <c r="Y349">
        <v>124.1</v>
      </c>
      <c r="Z349" s="1">
        <v>844193000000</v>
      </c>
    </row>
    <row r="350" spans="1:26" hidden="1">
      <c r="A350" t="s">
        <v>60</v>
      </c>
      <c r="B350">
        <v>2012</v>
      </c>
      <c r="C350" t="s">
        <v>61</v>
      </c>
      <c r="D350" t="s">
        <v>62</v>
      </c>
      <c r="E350" t="s">
        <v>29</v>
      </c>
      <c r="F350">
        <v>75197196</v>
      </c>
      <c r="G350" s="1">
        <v>1430130000000</v>
      </c>
      <c r="H350">
        <v>239.49</v>
      </c>
      <c r="I350">
        <v>242.36</v>
      </c>
      <c r="J350">
        <v>3222.9920000000002</v>
      </c>
      <c r="K350">
        <v>2.87</v>
      </c>
      <c r="L350">
        <v>1.1839999999999999</v>
      </c>
      <c r="M350">
        <v>6.734</v>
      </c>
      <c r="N350">
        <v>433.19200000000001</v>
      </c>
      <c r="O350">
        <v>89.555999999999997</v>
      </c>
      <c r="P350">
        <v>43.634</v>
      </c>
      <c r="Q350">
        <v>30.702000000000002</v>
      </c>
      <c r="R350">
        <v>28.715</v>
      </c>
      <c r="S350">
        <v>383.572</v>
      </c>
      <c r="T350">
        <v>65.209999999999994</v>
      </c>
      <c r="U350">
        <v>27.228999999999999</v>
      </c>
      <c r="V350">
        <v>174.28</v>
      </c>
      <c r="W350">
        <v>72.771000000000001</v>
      </c>
      <c r="X350">
        <v>18897.526999999998</v>
      </c>
      <c r="Y350">
        <v>126.4</v>
      </c>
      <c r="Z350" s="1">
        <v>885328000000</v>
      </c>
    </row>
    <row r="351" spans="1:26" hidden="1">
      <c r="A351" t="s">
        <v>60</v>
      </c>
      <c r="B351">
        <v>2013</v>
      </c>
      <c r="C351" t="s">
        <v>61</v>
      </c>
      <c r="D351" t="s">
        <v>62</v>
      </c>
      <c r="E351" t="s">
        <v>29</v>
      </c>
      <c r="F351">
        <v>76403032</v>
      </c>
      <c r="G351" s="1">
        <v>1551490000000</v>
      </c>
      <c r="H351">
        <v>240.15</v>
      </c>
      <c r="I351">
        <v>246.35</v>
      </c>
      <c r="J351">
        <v>3224.3490000000002</v>
      </c>
      <c r="K351">
        <v>6.2</v>
      </c>
      <c r="L351">
        <v>2.5169999999999999</v>
      </c>
      <c r="M351">
        <v>5.7249999999999996</v>
      </c>
      <c r="N351">
        <v>439.66500000000002</v>
      </c>
      <c r="O351">
        <v>74.929000000000002</v>
      </c>
      <c r="P351">
        <v>43.773000000000003</v>
      </c>
      <c r="Q351">
        <v>31.369</v>
      </c>
      <c r="R351">
        <v>29.588000000000001</v>
      </c>
      <c r="S351">
        <v>412.15100000000001</v>
      </c>
      <c r="T351">
        <v>69.22</v>
      </c>
      <c r="U351">
        <v>28.824000000000002</v>
      </c>
      <c r="V351">
        <v>170.93</v>
      </c>
      <c r="W351">
        <v>71.176000000000002</v>
      </c>
      <c r="X351">
        <v>18483.398000000001</v>
      </c>
      <c r="Y351">
        <v>122.47</v>
      </c>
      <c r="Z351" s="1">
        <v>962168000000</v>
      </c>
    </row>
    <row r="352" spans="1:26" hidden="1">
      <c r="A352" t="s">
        <v>60</v>
      </c>
      <c r="B352">
        <v>2014</v>
      </c>
      <c r="C352" t="s">
        <v>61</v>
      </c>
      <c r="D352" t="s">
        <v>62</v>
      </c>
      <c r="E352" t="s">
        <v>29</v>
      </c>
      <c r="F352">
        <v>78036154</v>
      </c>
      <c r="G352" s="1">
        <v>1628130000000</v>
      </c>
      <c r="H352">
        <v>251.95</v>
      </c>
      <c r="I352">
        <v>257.20999999999998</v>
      </c>
      <c r="J352">
        <v>3296.0360000000001</v>
      </c>
      <c r="K352">
        <v>5.26</v>
      </c>
      <c r="L352">
        <v>2.0449999999999999</v>
      </c>
      <c r="M352">
        <v>5.1040000000000001</v>
      </c>
      <c r="N352">
        <v>466.46499999999997</v>
      </c>
      <c r="O352">
        <v>65.400000000000006</v>
      </c>
      <c r="P352">
        <v>47.859000000000002</v>
      </c>
      <c r="Q352">
        <v>32.226999999999997</v>
      </c>
      <c r="R352">
        <v>30.501000000000001</v>
      </c>
      <c r="S352">
        <v>423.30200000000002</v>
      </c>
      <c r="T352">
        <v>52.62</v>
      </c>
      <c r="U352">
        <v>20.885000000000002</v>
      </c>
      <c r="V352">
        <v>199.33</v>
      </c>
      <c r="W352">
        <v>79.114999999999995</v>
      </c>
      <c r="X352">
        <v>18636.938999999998</v>
      </c>
      <c r="Y352">
        <v>142.91999999999999</v>
      </c>
      <c r="Z352" s="1">
        <v>942343000000</v>
      </c>
    </row>
    <row r="353" spans="1:26" hidden="1">
      <c r="A353" t="s">
        <v>60</v>
      </c>
      <c r="B353">
        <v>2015</v>
      </c>
      <c r="C353" t="s">
        <v>61</v>
      </c>
      <c r="D353" t="s">
        <v>62</v>
      </c>
      <c r="E353" t="s">
        <v>29</v>
      </c>
      <c r="F353">
        <v>80014222</v>
      </c>
      <c r="G353" s="1">
        <v>1727190000000</v>
      </c>
      <c r="H353">
        <v>261.77</v>
      </c>
      <c r="I353">
        <v>265.70999999999998</v>
      </c>
      <c r="J353">
        <v>3320.7840000000001</v>
      </c>
      <c r="K353">
        <v>3.94</v>
      </c>
      <c r="L353">
        <v>1.4830000000000001</v>
      </c>
      <c r="M353">
        <v>4.0549999999999997</v>
      </c>
      <c r="N353">
        <v>459.59</v>
      </c>
      <c r="O353">
        <v>50.671999999999997</v>
      </c>
      <c r="P353">
        <v>37.904000000000003</v>
      </c>
      <c r="Q353">
        <v>29.123999999999999</v>
      </c>
      <c r="R353">
        <v>31.036999999999999</v>
      </c>
      <c r="S353">
        <v>498.66399999999999</v>
      </c>
      <c r="T353">
        <v>83.65</v>
      </c>
      <c r="U353">
        <v>31.956</v>
      </c>
      <c r="V353">
        <v>178.12</v>
      </c>
      <c r="W353">
        <v>68.043999999999997</v>
      </c>
      <c r="X353">
        <v>19859.234</v>
      </c>
      <c r="Y353">
        <v>132.1</v>
      </c>
      <c r="Z353" s="1">
        <v>865460000000</v>
      </c>
    </row>
    <row r="354" spans="1:26" hidden="1">
      <c r="A354" t="s">
        <v>60</v>
      </c>
      <c r="B354">
        <v>2016</v>
      </c>
      <c r="C354" t="s">
        <v>61</v>
      </c>
      <c r="D354" t="s">
        <v>62</v>
      </c>
      <c r="E354" t="s">
        <v>29</v>
      </c>
      <c r="F354">
        <v>81652087</v>
      </c>
      <c r="G354" s="1">
        <v>1784590000000</v>
      </c>
      <c r="H354">
        <v>274.39999999999998</v>
      </c>
      <c r="I354">
        <v>279.27999999999997</v>
      </c>
      <c r="J354">
        <v>3420.366</v>
      </c>
      <c r="K354">
        <v>4.88</v>
      </c>
      <c r="L354">
        <v>1.7470000000000001</v>
      </c>
      <c r="M354">
        <v>3.9060000000000001</v>
      </c>
      <c r="N354">
        <v>445.04599999999999</v>
      </c>
      <c r="O354">
        <v>47.831000000000003</v>
      </c>
      <c r="P354">
        <v>32.518000000000001</v>
      </c>
      <c r="Q354">
        <v>26.841999999999999</v>
      </c>
      <c r="R354">
        <v>31.756</v>
      </c>
      <c r="S354">
        <v>533.83100000000002</v>
      </c>
      <c r="T354">
        <v>90.24</v>
      </c>
      <c r="U354">
        <v>32.886000000000003</v>
      </c>
      <c r="V354">
        <v>184.16</v>
      </c>
      <c r="W354">
        <v>67.114000000000004</v>
      </c>
      <c r="X354">
        <v>20443.309000000001</v>
      </c>
      <c r="Y354">
        <v>143.44999999999999</v>
      </c>
      <c r="Z354" s="1">
        <v>870818000000</v>
      </c>
    </row>
    <row r="355" spans="1:26" hidden="1">
      <c r="A355" t="s">
        <v>60</v>
      </c>
      <c r="B355">
        <v>2017</v>
      </c>
      <c r="C355" t="s">
        <v>61</v>
      </c>
      <c r="D355" t="s">
        <v>62</v>
      </c>
      <c r="E355" t="s">
        <v>29</v>
      </c>
      <c r="F355">
        <v>83083667</v>
      </c>
      <c r="G355" s="1">
        <v>1918470000000</v>
      </c>
      <c r="H355">
        <v>297.29000000000002</v>
      </c>
      <c r="I355">
        <v>296.70999999999998</v>
      </c>
      <c r="J355">
        <v>3571.2190000000001</v>
      </c>
      <c r="K355">
        <v>-0.57999999999999996</v>
      </c>
      <c r="L355">
        <v>-0.19500000000000001</v>
      </c>
      <c r="M355">
        <v>3.3769999999999998</v>
      </c>
      <c r="N355">
        <v>515.68100000000004</v>
      </c>
      <c r="O355">
        <v>40.646000000000001</v>
      </c>
      <c r="P355">
        <v>37.165999999999997</v>
      </c>
      <c r="Q355">
        <v>29.004000000000001</v>
      </c>
      <c r="R355">
        <v>32.28</v>
      </c>
      <c r="S355">
        <v>578.77800000000002</v>
      </c>
      <c r="T355">
        <v>87.24</v>
      </c>
      <c r="U355">
        <v>29.344999999999999</v>
      </c>
      <c r="V355">
        <v>210.05</v>
      </c>
      <c r="W355">
        <v>70.655000000000001</v>
      </c>
      <c r="X355">
        <v>21512.550999999999</v>
      </c>
      <c r="Y355">
        <v>158.83000000000001</v>
      </c>
      <c r="Z355" s="1">
        <v>863875000000</v>
      </c>
    </row>
    <row r="356" spans="1:26" hidden="1">
      <c r="A356" t="s">
        <v>60</v>
      </c>
      <c r="B356">
        <v>2018</v>
      </c>
      <c r="C356" t="s">
        <v>61</v>
      </c>
      <c r="D356" t="s">
        <v>62</v>
      </c>
      <c r="E356" t="s">
        <v>29</v>
      </c>
      <c r="F356">
        <v>84415966</v>
      </c>
      <c r="G356" s="1">
        <v>1975640000000</v>
      </c>
      <c r="H356">
        <v>300.14999999999998</v>
      </c>
      <c r="I356">
        <v>299.52</v>
      </c>
      <c r="J356">
        <v>3548.1439999999998</v>
      </c>
      <c r="K356">
        <v>-0.63</v>
      </c>
      <c r="L356">
        <v>-0.21</v>
      </c>
      <c r="M356">
        <v>2.919</v>
      </c>
      <c r="N356">
        <v>472.32499999999999</v>
      </c>
      <c r="O356">
        <v>34.579000000000001</v>
      </c>
      <c r="P356">
        <v>30.015000000000001</v>
      </c>
      <c r="Q356">
        <v>26.562000000000001</v>
      </c>
      <c r="R356">
        <v>32.811999999999998</v>
      </c>
      <c r="S356">
        <v>579.38199999999995</v>
      </c>
      <c r="T356">
        <v>96.82</v>
      </c>
      <c r="U356">
        <v>32.256999999999998</v>
      </c>
      <c r="V356">
        <v>203.33</v>
      </c>
      <c r="W356">
        <v>67.742999999999995</v>
      </c>
      <c r="X356">
        <v>21179.322</v>
      </c>
      <c r="Y356">
        <v>162.63</v>
      </c>
      <c r="Z356" s="1">
        <v>788357000000</v>
      </c>
    </row>
    <row r="357" spans="1:26" hidden="1">
      <c r="A357" t="s">
        <v>60</v>
      </c>
      <c r="B357">
        <v>2019</v>
      </c>
      <c r="C357" t="s">
        <v>61</v>
      </c>
      <c r="D357" t="s">
        <v>62</v>
      </c>
      <c r="E357" t="s">
        <v>29</v>
      </c>
      <c r="F357">
        <v>85357670</v>
      </c>
      <c r="G357" s="1">
        <v>1991120000000</v>
      </c>
      <c r="H357">
        <v>300.18</v>
      </c>
      <c r="I357">
        <v>299.60000000000002</v>
      </c>
      <c r="J357">
        <v>3509.9369999999999</v>
      </c>
      <c r="K357">
        <v>-0.57999999999999996</v>
      </c>
      <c r="L357">
        <v>-0.19400000000000001</v>
      </c>
      <c r="M357">
        <v>2.524</v>
      </c>
      <c r="N357">
        <v>433.57499999999999</v>
      </c>
      <c r="O357">
        <v>29.57</v>
      </c>
      <c r="P357">
        <v>18.282</v>
      </c>
      <c r="Q357">
        <v>23.629000000000001</v>
      </c>
      <c r="R357">
        <v>33.353000000000002</v>
      </c>
      <c r="S357">
        <v>576.53099999999995</v>
      </c>
      <c r="T357">
        <v>131.47</v>
      </c>
      <c r="U357">
        <v>43.796999999999997</v>
      </c>
      <c r="V357">
        <v>168.71</v>
      </c>
      <c r="W357">
        <v>56.203000000000003</v>
      </c>
      <c r="X357">
        <v>21663.298999999999</v>
      </c>
      <c r="Y357">
        <v>146.62</v>
      </c>
      <c r="Z357" s="1">
        <v>775853000000</v>
      </c>
    </row>
    <row r="358" spans="1:26" hidden="1">
      <c r="A358" t="s">
        <v>60</v>
      </c>
      <c r="B358">
        <v>2020</v>
      </c>
      <c r="C358" t="s">
        <v>61</v>
      </c>
      <c r="D358" t="s">
        <v>62</v>
      </c>
      <c r="E358" t="s">
        <v>29</v>
      </c>
      <c r="F358">
        <v>86091691</v>
      </c>
      <c r="G358" s="1">
        <v>2029750000000</v>
      </c>
      <c r="H358">
        <v>302</v>
      </c>
      <c r="I358">
        <v>301.41000000000003</v>
      </c>
      <c r="J358">
        <v>3501.0349999999999</v>
      </c>
      <c r="K358">
        <v>-0.59</v>
      </c>
      <c r="L358">
        <v>-0.19600000000000001</v>
      </c>
      <c r="M358">
        <v>2.1819999999999999</v>
      </c>
      <c r="N358">
        <v>462.15199999999999</v>
      </c>
      <c r="O358">
        <v>25.344999999999999</v>
      </c>
      <c r="P358">
        <v>22.54</v>
      </c>
      <c r="Q358">
        <v>25.538</v>
      </c>
      <c r="R358">
        <v>33.902000000000001</v>
      </c>
      <c r="S358">
        <v>547.577</v>
      </c>
      <c r="T358">
        <v>127.33</v>
      </c>
      <c r="U358">
        <v>42.161999999999999</v>
      </c>
      <c r="V358">
        <v>174.67</v>
      </c>
      <c r="W358">
        <v>57.838000000000001</v>
      </c>
      <c r="X358">
        <v>21161.5</v>
      </c>
      <c r="Y358">
        <v>145.69999999999999</v>
      </c>
      <c r="Z358" s="1">
        <v>733628000000</v>
      </c>
    </row>
    <row r="359" spans="1:26" hidden="1">
      <c r="A359" t="s">
        <v>60</v>
      </c>
      <c r="B359">
        <v>2021</v>
      </c>
      <c r="C359" t="s">
        <v>61</v>
      </c>
      <c r="D359" t="s">
        <v>62</v>
      </c>
      <c r="E359" t="s">
        <v>29</v>
      </c>
      <c r="F359">
        <v>86686254</v>
      </c>
      <c r="G359" s="1">
        <v>2260200000000</v>
      </c>
      <c r="H359">
        <v>327.88</v>
      </c>
      <c r="I359">
        <v>326.02999999999997</v>
      </c>
      <c r="J359">
        <v>3761.0349999999999</v>
      </c>
      <c r="K359">
        <v>-1.85</v>
      </c>
      <c r="L359">
        <v>-0.56699999999999995</v>
      </c>
      <c r="M359">
        <v>1.8859999999999999</v>
      </c>
      <c r="N359">
        <v>572.87599999999998</v>
      </c>
      <c r="O359">
        <v>21.757000000000001</v>
      </c>
      <c r="P359">
        <v>32.738</v>
      </c>
      <c r="Q359">
        <v>29.506</v>
      </c>
      <c r="R359">
        <v>34.460999999999999</v>
      </c>
      <c r="S359">
        <v>581.60500000000002</v>
      </c>
      <c r="T359">
        <v>116.07</v>
      </c>
      <c r="U359">
        <v>35.4</v>
      </c>
      <c r="V359">
        <v>211.81</v>
      </c>
      <c r="W359">
        <v>64.599999999999994</v>
      </c>
      <c r="X359">
        <v>22505.563999999998</v>
      </c>
      <c r="Y359">
        <v>164.14</v>
      </c>
      <c r="Z359" s="1">
        <v>839939000000</v>
      </c>
    </row>
    <row r="360" spans="1:26" hidden="1">
      <c r="A360" t="s">
        <v>60</v>
      </c>
      <c r="B360">
        <v>2022</v>
      </c>
      <c r="C360" t="s">
        <v>61</v>
      </c>
      <c r="D360" t="s">
        <v>62</v>
      </c>
      <c r="E360" t="s">
        <v>29</v>
      </c>
      <c r="F360">
        <v>87058469</v>
      </c>
      <c r="G360" s="1">
        <v>2386000000000</v>
      </c>
      <c r="H360">
        <v>320.56</v>
      </c>
      <c r="I360">
        <v>323.29000000000002</v>
      </c>
      <c r="J360">
        <v>3713.4810000000002</v>
      </c>
      <c r="K360">
        <v>2.73</v>
      </c>
      <c r="L360">
        <v>0.84399999999999997</v>
      </c>
      <c r="M360">
        <v>1.631</v>
      </c>
      <c r="N360">
        <v>509.39499999999998</v>
      </c>
      <c r="O360">
        <v>18.734999999999999</v>
      </c>
      <c r="P360">
        <v>22.417000000000002</v>
      </c>
      <c r="Q360">
        <v>26.021000000000001</v>
      </c>
      <c r="R360">
        <v>35.03</v>
      </c>
      <c r="S360">
        <v>606.45299999999997</v>
      </c>
      <c r="T360">
        <v>134.35</v>
      </c>
      <c r="U360">
        <v>41.911000000000001</v>
      </c>
      <c r="V360">
        <v>186.21</v>
      </c>
      <c r="W360">
        <v>58.088999999999999</v>
      </c>
      <c r="X360">
        <v>22617.557000000001</v>
      </c>
      <c r="Y360">
        <v>156.41</v>
      </c>
      <c r="Z360" s="1">
        <v>926097000000</v>
      </c>
    </row>
    <row r="361" spans="1:26" hidden="1">
      <c r="A361" t="s">
        <v>60</v>
      </c>
      <c r="B361">
        <v>2023</v>
      </c>
      <c r="C361" t="s">
        <v>61</v>
      </c>
      <c r="D361" t="s">
        <v>62</v>
      </c>
      <c r="E361" t="s">
        <v>29</v>
      </c>
      <c r="F361">
        <v>87270502</v>
      </c>
      <c r="G361" s="1">
        <v>3056260000000</v>
      </c>
      <c r="H361">
        <v>319.79000000000002</v>
      </c>
      <c r="I361">
        <v>323.81</v>
      </c>
      <c r="J361">
        <v>3710.4169999999999</v>
      </c>
      <c r="K361">
        <v>4.0199999999999996</v>
      </c>
      <c r="L361">
        <v>1.2410000000000001</v>
      </c>
      <c r="M361">
        <v>1.41</v>
      </c>
      <c r="N361">
        <v>480.76900000000001</v>
      </c>
      <c r="O361">
        <v>16.157</v>
      </c>
      <c r="P361">
        <v>20.789000000000001</v>
      </c>
      <c r="Q361">
        <v>24.669</v>
      </c>
      <c r="R361">
        <v>35.606999999999999</v>
      </c>
      <c r="S361">
        <v>645.44500000000005</v>
      </c>
      <c r="T361">
        <v>134.34</v>
      </c>
      <c r="U361">
        <v>42.009</v>
      </c>
      <c r="V361">
        <v>185.45</v>
      </c>
      <c r="W361">
        <v>57.991</v>
      </c>
      <c r="X361">
        <v>22476.043000000001</v>
      </c>
      <c r="Y361">
        <v>157.88999999999999</v>
      </c>
      <c r="Z361" s="1">
        <v>1141240000000</v>
      </c>
    </row>
    <row r="362" spans="1:26" hidden="1">
      <c r="A362" t="s">
        <v>63</v>
      </c>
      <c r="B362">
        <v>2000</v>
      </c>
      <c r="C362" t="s">
        <v>64</v>
      </c>
      <c r="D362" t="s">
        <v>28</v>
      </c>
      <c r="E362" t="s">
        <v>43</v>
      </c>
      <c r="F362">
        <v>3493583</v>
      </c>
      <c r="G362" s="1">
        <v>160531000000</v>
      </c>
      <c r="H362">
        <v>39.94</v>
      </c>
      <c r="I362">
        <v>39.94</v>
      </c>
      <c r="J362">
        <v>11432.388999999999</v>
      </c>
      <c r="K362">
        <v>0</v>
      </c>
      <c r="L362">
        <v>0</v>
      </c>
      <c r="M362">
        <v>374.20499999999998</v>
      </c>
      <c r="N362">
        <v>306.44299999999998</v>
      </c>
      <c r="O362">
        <v>107112.102</v>
      </c>
      <c r="P362">
        <v>100</v>
      </c>
      <c r="Q362">
        <v>57.195</v>
      </c>
      <c r="R362">
        <v>1413.317</v>
      </c>
      <c r="S362">
        <v>229.339</v>
      </c>
      <c r="T362">
        <v>0</v>
      </c>
      <c r="U362">
        <v>0</v>
      </c>
      <c r="V362">
        <v>39.94</v>
      </c>
      <c r="W362">
        <v>100</v>
      </c>
      <c r="X362">
        <v>153361.734</v>
      </c>
      <c r="Y362">
        <v>27.03</v>
      </c>
      <c r="Z362" s="1">
        <v>104337000000</v>
      </c>
    </row>
    <row r="363" spans="1:26" hidden="1">
      <c r="A363" t="s">
        <v>63</v>
      </c>
      <c r="B363">
        <v>2001</v>
      </c>
      <c r="C363" t="s">
        <v>64</v>
      </c>
      <c r="D363" t="s">
        <v>28</v>
      </c>
      <c r="E363" t="s">
        <v>43</v>
      </c>
      <c r="F363">
        <v>3723596</v>
      </c>
      <c r="G363" s="1">
        <v>177272000000</v>
      </c>
      <c r="H363">
        <v>43.17</v>
      </c>
      <c r="I363">
        <v>43.17</v>
      </c>
      <c r="J363">
        <v>11593.630999999999</v>
      </c>
      <c r="K363">
        <v>0</v>
      </c>
      <c r="L363">
        <v>0</v>
      </c>
      <c r="M363">
        <v>383.76</v>
      </c>
      <c r="N363">
        <v>314.73</v>
      </c>
      <c r="O363">
        <v>103061.664</v>
      </c>
      <c r="P363">
        <v>100</v>
      </c>
      <c r="Q363">
        <v>58.115000000000002</v>
      </c>
      <c r="R363">
        <v>1377.15</v>
      </c>
      <c r="S363">
        <v>226.62100000000001</v>
      </c>
      <c r="T363">
        <v>0</v>
      </c>
      <c r="U363">
        <v>0</v>
      </c>
      <c r="V363">
        <v>43.17</v>
      </c>
      <c r="W363">
        <v>100</v>
      </c>
      <c r="X363">
        <v>145441.67199999999</v>
      </c>
      <c r="Y363">
        <v>29.21</v>
      </c>
      <c r="Z363" s="1">
        <v>103312000000</v>
      </c>
    </row>
    <row r="364" spans="1:26" hidden="1">
      <c r="A364" t="s">
        <v>63</v>
      </c>
      <c r="B364">
        <v>2002</v>
      </c>
      <c r="C364" t="s">
        <v>64</v>
      </c>
      <c r="D364" t="s">
        <v>28</v>
      </c>
      <c r="E364" t="s">
        <v>43</v>
      </c>
      <c r="F364">
        <v>3956829</v>
      </c>
      <c r="G364" s="1">
        <v>195395000000</v>
      </c>
      <c r="H364">
        <v>46.85</v>
      </c>
      <c r="I364">
        <v>46.85</v>
      </c>
      <c r="J364">
        <v>11840.289000000001</v>
      </c>
      <c r="K364">
        <v>0</v>
      </c>
      <c r="L364">
        <v>0</v>
      </c>
      <c r="M364">
        <v>423.053</v>
      </c>
      <c r="N364">
        <v>355.29</v>
      </c>
      <c r="O364">
        <v>106917.06200000001</v>
      </c>
      <c r="P364">
        <v>100</v>
      </c>
      <c r="Q364">
        <v>60.045999999999999</v>
      </c>
      <c r="R364">
        <v>1267.884</v>
      </c>
      <c r="S364">
        <v>235.30699999999999</v>
      </c>
      <c r="T364">
        <v>0</v>
      </c>
      <c r="U364">
        <v>0</v>
      </c>
      <c r="V364">
        <v>46.85</v>
      </c>
      <c r="W364">
        <v>100</v>
      </c>
      <c r="X364">
        <v>149537.20300000001</v>
      </c>
      <c r="Y364">
        <v>31.71</v>
      </c>
      <c r="Z364" s="1">
        <v>109816000000</v>
      </c>
    </row>
    <row r="365" spans="1:26" hidden="1">
      <c r="A365" t="s">
        <v>63</v>
      </c>
      <c r="B365">
        <v>2003</v>
      </c>
      <c r="C365" t="s">
        <v>64</v>
      </c>
      <c r="D365" t="s">
        <v>28</v>
      </c>
      <c r="E365" t="s">
        <v>43</v>
      </c>
      <c r="F365">
        <v>4192465</v>
      </c>
      <c r="G365" s="1">
        <v>224547000000</v>
      </c>
      <c r="H365">
        <v>49.45</v>
      </c>
      <c r="I365">
        <v>49.45</v>
      </c>
      <c r="J365">
        <v>11794.971</v>
      </c>
      <c r="K365">
        <v>0</v>
      </c>
      <c r="L365">
        <v>0</v>
      </c>
      <c r="M365">
        <v>436.70299999999997</v>
      </c>
      <c r="N365">
        <v>369.33</v>
      </c>
      <c r="O365">
        <v>104163.664</v>
      </c>
      <c r="P365">
        <v>100</v>
      </c>
      <c r="Q365">
        <v>58.517000000000003</v>
      </c>
      <c r="R365">
        <v>1467.586</v>
      </c>
      <c r="S365">
        <v>260.53500000000003</v>
      </c>
      <c r="T365">
        <v>0</v>
      </c>
      <c r="U365">
        <v>0</v>
      </c>
      <c r="V365">
        <v>49.45</v>
      </c>
      <c r="W365">
        <v>100</v>
      </c>
      <c r="X365">
        <v>150545.17199999999</v>
      </c>
      <c r="Y365">
        <v>33.46</v>
      </c>
      <c r="Z365" s="1">
        <v>124346000000</v>
      </c>
    </row>
    <row r="366" spans="1:26" hidden="1">
      <c r="A366" t="s">
        <v>63</v>
      </c>
      <c r="B366">
        <v>2004</v>
      </c>
      <c r="C366" t="s">
        <v>64</v>
      </c>
      <c r="D366" t="s">
        <v>28</v>
      </c>
      <c r="E366" t="s">
        <v>43</v>
      </c>
      <c r="F366">
        <v>4428964</v>
      </c>
      <c r="G366" s="1">
        <v>252048000000</v>
      </c>
      <c r="H366">
        <v>52.41</v>
      </c>
      <c r="I366">
        <v>52.41</v>
      </c>
      <c r="J366">
        <v>11833.467000000001</v>
      </c>
      <c r="K366">
        <v>0</v>
      </c>
      <c r="L366">
        <v>0</v>
      </c>
      <c r="M366">
        <v>451.327</v>
      </c>
      <c r="N366">
        <v>392.04700000000003</v>
      </c>
      <c r="O366">
        <v>101903.625</v>
      </c>
      <c r="P366">
        <v>100</v>
      </c>
      <c r="Q366">
        <v>58.075000000000003</v>
      </c>
      <c r="R366">
        <v>1526.739</v>
      </c>
      <c r="S366">
        <v>281.55599999999998</v>
      </c>
      <c r="T366">
        <v>0</v>
      </c>
      <c r="U366">
        <v>0</v>
      </c>
      <c r="V366">
        <v>52.41</v>
      </c>
      <c r="W366">
        <v>100</v>
      </c>
      <c r="X366">
        <v>152420.609</v>
      </c>
      <c r="Y366">
        <v>35.47</v>
      </c>
      <c r="Z366" s="1">
        <v>147824000000</v>
      </c>
    </row>
    <row r="367" spans="1:26" hidden="1">
      <c r="A367" t="s">
        <v>63</v>
      </c>
      <c r="B367">
        <v>2005</v>
      </c>
      <c r="C367" t="s">
        <v>64</v>
      </c>
      <c r="D367" t="s">
        <v>28</v>
      </c>
      <c r="E367" t="s">
        <v>43</v>
      </c>
      <c r="F367">
        <v>4664797</v>
      </c>
      <c r="G367" s="1">
        <v>262413000000</v>
      </c>
      <c r="H367">
        <v>60.7</v>
      </c>
      <c r="I367">
        <v>60.7</v>
      </c>
      <c r="J367">
        <v>13012.356</v>
      </c>
      <c r="K367">
        <v>0</v>
      </c>
      <c r="L367">
        <v>0</v>
      </c>
      <c r="M367">
        <v>465.952</v>
      </c>
      <c r="N367">
        <v>409.98700000000002</v>
      </c>
      <c r="O367">
        <v>99886.976999999999</v>
      </c>
      <c r="P367">
        <v>100</v>
      </c>
      <c r="Q367">
        <v>58.186999999999998</v>
      </c>
      <c r="R367">
        <v>1588.1110000000001</v>
      </c>
      <c r="S367">
        <v>292.91899999999998</v>
      </c>
      <c r="T367">
        <v>0</v>
      </c>
      <c r="U367">
        <v>0</v>
      </c>
      <c r="V367">
        <v>60.7</v>
      </c>
      <c r="W367">
        <v>100</v>
      </c>
      <c r="X367">
        <v>151045.81200000001</v>
      </c>
      <c r="Y367">
        <v>41.08</v>
      </c>
      <c r="Z367" s="1">
        <v>180617000000</v>
      </c>
    </row>
    <row r="368" spans="1:26" hidden="1">
      <c r="A368" t="s">
        <v>63</v>
      </c>
      <c r="B368">
        <v>2006</v>
      </c>
      <c r="C368" t="s">
        <v>64</v>
      </c>
      <c r="D368" t="s">
        <v>28</v>
      </c>
      <c r="E368" t="s">
        <v>43</v>
      </c>
      <c r="F368">
        <v>5009106</v>
      </c>
      <c r="G368" s="1">
        <v>307379000000</v>
      </c>
      <c r="H368">
        <v>62.44</v>
      </c>
      <c r="I368">
        <v>62.44</v>
      </c>
      <c r="J368">
        <v>12465.298000000001</v>
      </c>
      <c r="K368">
        <v>0</v>
      </c>
      <c r="L368">
        <v>0</v>
      </c>
      <c r="M368">
        <v>475.702</v>
      </c>
      <c r="N368">
        <v>422.76</v>
      </c>
      <c r="O368">
        <v>94967.539000000004</v>
      </c>
      <c r="P368">
        <v>100</v>
      </c>
      <c r="Q368">
        <v>57.03</v>
      </c>
      <c r="R368">
        <v>1693.98</v>
      </c>
      <c r="S368">
        <v>315.25799999999998</v>
      </c>
      <c r="T368">
        <v>0</v>
      </c>
      <c r="U368">
        <v>0</v>
      </c>
      <c r="V368">
        <v>62.44</v>
      </c>
      <c r="W368">
        <v>100</v>
      </c>
      <c r="X368">
        <v>147989.07800000001</v>
      </c>
      <c r="Y368">
        <v>42.26</v>
      </c>
      <c r="Z368" s="1">
        <v>222117000000</v>
      </c>
    </row>
    <row r="369" spans="1:26" hidden="1">
      <c r="A369" t="s">
        <v>63</v>
      </c>
      <c r="B369">
        <v>2007</v>
      </c>
      <c r="C369" t="s">
        <v>64</v>
      </c>
      <c r="D369" t="s">
        <v>28</v>
      </c>
      <c r="E369" t="s">
        <v>43</v>
      </c>
      <c r="F369">
        <v>5624640</v>
      </c>
      <c r="G369" s="1">
        <v>367816000000</v>
      </c>
      <c r="H369">
        <v>78.760000000000005</v>
      </c>
      <c r="I369">
        <v>78.760000000000005</v>
      </c>
      <c r="J369">
        <v>14002.674999999999</v>
      </c>
      <c r="K369">
        <v>0</v>
      </c>
      <c r="L369">
        <v>0</v>
      </c>
      <c r="M369">
        <v>490.32799999999997</v>
      </c>
      <c r="N369">
        <v>479.38200000000001</v>
      </c>
      <c r="O369">
        <v>87174.914000000004</v>
      </c>
      <c r="P369">
        <v>100</v>
      </c>
      <c r="Q369">
        <v>58.578000000000003</v>
      </c>
      <c r="R369">
        <v>1670.5730000000001</v>
      </c>
      <c r="S369">
        <v>337.40199999999999</v>
      </c>
      <c r="T369">
        <v>0</v>
      </c>
      <c r="U369">
        <v>0</v>
      </c>
      <c r="V369">
        <v>78.760000000000005</v>
      </c>
      <c r="W369">
        <v>100</v>
      </c>
      <c r="X369">
        <v>145495.71900000001</v>
      </c>
      <c r="Y369">
        <v>53.3</v>
      </c>
      <c r="Z369" s="1">
        <v>257916000000</v>
      </c>
    </row>
    <row r="370" spans="1:26" hidden="1">
      <c r="A370" t="s">
        <v>63</v>
      </c>
      <c r="B370">
        <v>2008</v>
      </c>
      <c r="C370" t="s">
        <v>64</v>
      </c>
      <c r="D370" t="s">
        <v>28</v>
      </c>
      <c r="E370" t="s">
        <v>43</v>
      </c>
      <c r="F370">
        <v>6302669</v>
      </c>
      <c r="G370" s="1">
        <v>464692000000</v>
      </c>
      <c r="H370">
        <v>80.459999999999994</v>
      </c>
      <c r="I370">
        <v>80.459999999999994</v>
      </c>
      <c r="J370">
        <v>12766.021000000001</v>
      </c>
      <c r="K370">
        <v>0</v>
      </c>
      <c r="L370">
        <v>0</v>
      </c>
      <c r="M370">
        <v>489.84</v>
      </c>
      <c r="N370">
        <v>579.721</v>
      </c>
      <c r="O370">
        <v>77719.452999999994</v>
      </c>
      <c r="P370">
        <v>100</v>
      </c>
      <c r="Q370">
        <v>61.777999999999999</v>
      </c>
      <c r="R370">
        <v>1689.221</v>
      </c>
      <c r="S370">
        <v>354.68799999999999</v>
      </c>
      <c r="T370">
        <v>0</v>
      </c>
      <c r="U370">
        <v>0</v>
      </c>
      <c r="V370">
        <v>80.459999999999994</v>
      </c>
      <c r="W370">
        <v>100</v>
      </c>
      <c r="X370">
        <v>148889.391</v>
      </c>
      <c r="Y370">
        <v>54.45</v>
      </c>
      <c r="Z370" s="1">
        <v>315475000000</v>
      </c>
    </row>
    <row r="371" spans="1:26" hidden="1">
      <c r="A371" t="s">
        <v>63</v>
      </c>
      <c r="B371">
        <v>2009</v>
      </c>
      <c r="C371" t="s">
        <v>64</v>
      </c>
      <c r="D371" t="s">
        <v>28</v>
      </c>
      <c r="E371" t="s">
        <v>43</v>
      </c>
      <c r="F371">
        <v>6707063</v>
      </c>
      <c r="G371" s="1">
        <v>480552000000</v>
      </c>
      <c r="H371">
        <v>85.7</v>
      </c>
      <c r="I371">
        <v>85.7</v>
      </c>
      <c r="J371">
        <v>12777.574000000001</v>
      </c>
      <c r="K371">
        <v>0</v>
      </c>
      <c r="L371">
        <v>0</v>
      </c>
      <c r="M371">
        <v>476.19</v>
      </c>
      <c r="N371">
        <v>575.88099999999997</v>
      </c>
      <c r="O371">
        <v>70998.289000000004</v>
      </c>
      <c r="P371">
        <v>99.988</v>
      </c>
      <c r="Q371">
        <v>62.219000000000001</v>
      </c>
      <c r="R371">
        <v>1498.1179999999999</v>
      </c>
      <c r="S371">
        <v>346.49200000000002</v>
      </c>
      <c r="T371">
        <v>0.01</v>
      </c>
      <c r="U371">
        <v>1.2E-2</v>
      </c>
      <c r="V371">
        <v>85.69</v>
      </c>
      <c r="W371">
        <v>99.988</v>
      </c>
      <c r="X371">
        <v>138000.09400000001</v>
      </c>
      <c r="Y371">
        <v>57.99</v>
      </c>
      <c r="Z371" s="1">
        <v>253547000000</v>
      </c>
    </row>
    <row r="372" spans="1:26" hidden="1">
      <c r="A372" t="s">
        <v>63</v>
      </c>
      <c r="B372">
        <v>2010</v>
      </c>
      <c r="C372" t="s">
        <v>64</v>
      </c>
      <c r="D372" t="s">
        <v>28</v>
      </c>
      <c r="E372" t="s">
        <v>43</v>
      </c>
      <c r="F372">
        <v>6938372</v>
      </c>
      <c r="G372" s="1">
        <v>490049000000</v>
      </c>
      <c r="H372">
        <v>93.95</v>
      </c>
      <c r="I372">
        <v>93.95</v>
      </c>
      <c r="J372">
        <v>13540.64</v>
      </c>
      <c r="K372">
        <v>0</v>
      </c>
      <c r="L372">
        <v>0</v>
      </c>
      <c r="M372">
        <v>499.99900000000002</v>
      </c>
      <c r="N372">
        <v>592.71600000000001</v>
      </c>
      <c r="O372">
        <v>72062.937999999995</v>
      </c>
      <c r="P372">
        <v>99.978999999999999</v>
      </c>
      <c r="Q372">
        <v>60.948</v>
      </c>
      <c r="R372">
        <v>1561.2550000000001</v>
      </c>
      <c r="S372">
        <v>372.07100000000003</v>
      </c>
      <c r="T372">
        <v>0.02</v>
      </c>
      <c r="U372">
        <v>2.1000000000000001E-2</v>
      </c>
      <c r="V372">
        <v>93.93</v>
      </c>
      <c r="W372">
        <v>99.978999999999999</v>
      </c>
      <c r="X372">
        <v>140161.359</v>
      </c>
      <c r="Y372">
        <v>63.57</v>
      </c>
      <c r="Z372" s="1">
        <v>307736000000</v>
      </c>
    </row>
    <row r="373" spans="1:26" hidden="1">
      <c r="A373" t="s">
        <v>63</v>
      </c>
      <c r="B373">
        <v>2011</v>
      </c>
      <c r="C373" t="s">
        <v>64</v>
      </c>
      <c r="D373" t="s">
        <v>28</v>
      </c>
      <c r="E373" t="s">
        <v>43</v>
      </c>
      <c r="F373">
        <v>7199436</v>
      </c>
      <c r="G373" s="1">
        <v>551070000000</v>
      </c>
      <c r="H373">
        <v>99.13</v>
      </c>
      <c r="I373">
        <v>99.11</v>
      </c>
      <c r="J373">
        <v>13766.356</v>
      </c>
      <c r="K373">
        <v>-0.02</v>
      </c>
      <c r="L373">
        <v>-0.02</v>
      </c>
      <c r="M373">
        <v>510.00299999999999</v>
      </c>
      <c r="N373">
        <v>616.36099999999999</v>
      </c>
      <c r="O373">
        <v>70839.297000000006</v>
      </c>
      <c r="P373">
        <v>99.98</v>
      </c>
      <c r="Q373">
        <v>60.372999999999998</v>
      </c>
      <c r="R373">
        <v>1737.4960000000001</v>
      </c>
      <c r="S373">
        <v>399.339</v>
      </c>
      <c r="T373">
        <v>0.02</v>
      </c>
      <c r="U373">
        <v>0.02</v>
      </c>
      <c r="V373">
        <v>99.11</v>
      </c>
      <c r="W373">
        <v>99.98</v>
      </c>
      <c r="X373">
        <v>141807.125</v>
      </c>
      <c r="Y373">
        <v>67.069999999999993</v>
      </c>
      <c r="Z373" s="1">
        <v>368881000000</v>
      </c>
    </row>
    <row r="374" spans="1:26" hidden="1">
      <c r="A374" t="s">
        <v>63</v>
      </c>
      <c r="B374">
        <v>2012</v>
      </c>
      <c r="C374" t="s">
        <v>64</v>
      </c>
      <c r="D374" t="s">
        <v>28</v>
      </c>
      <c r="E374" t="s">
        <v>43</v>
      </c>
      <c r="F374">
        <v>7497122</v>
      </c>
      <c r="G374" s="1">
        <v>577395000000</v>
      </c>
      <c r="H374">
        <v>106.21</v>
      </c>
      <c r="I374">
        <v>106.18</v>
      </c>
      <c r="J374">
        <v>14162.769</v>
      </c>
      <c r="K374">
        <v>-0.03</v>
      </c>
      <c r="L374">
        <v>-2.8000000000000001E-2</v>
      </c>
      <c r="M374">
        <v>529.42499999999995</v>
      </c>
      <c r="N374">
        <v>639.30700000000002</v>
      </c>
      <c r="O374">
        <v>70617.093999999997</v>
      </c>
      <c r="P374">
        <v>99.980999999999995</v>
      </c>
      <c r="Q374">
        <v>59.521000000000001</v>
      </c>
      <c r="R374">
        <v>1801.5309999999999</v>
      </c>
      <c r="S374">
        <v>418.649</v>
      </c>
      <c r="T374">
        <v>0.02</v>
      </c>
      <c r="U374">
        <v>1.9E-2</v>
      </c>
      <c r="V374">
        <v>106.19</v>
      </c>
      <c r="W374">
        <v>99.980999999999995</v>
      </c>
      <c r="X374">
        <v>143268.29699999999</v>
      </c>
      <c r="Y374">
        <v>71.86</v>
      </c>
      <c r="Z374" s="1">
        <v>392794000000</v>
      </c>
    </row>
    <row r="375" spans="1:26" hidden="1">
      <c r="A375" t="s">
        <v>63</v>
      </c>
      <c r="B375">
        <v>2013</v>
      </c>
      <c r="C375" t="s">
        <v>64</v>
      </c>
      <c r="D375" t="s">
        <v>28</v>
      </c>
      <c r="E375" t="s">
        <v>43</v>
      </c>
      <c r="F375">
        <v>7831851</v>
      </c>
      <c r="G375" s="1">
        <v>606588000000</v>
      </c>
      <c r="H375">
        <v>109.99</v>
      </c>
      <c r="I375">
        <v>109.97</v>
      </c>
      <c r="J375">
        <v>14041.380999999999</v>
      </c>
      <c r="K375">
        <v>-0.02</v>
      </c>
      <c r="L375">
        <v>-1.7999999999999999E-2</v>
      </c>
      <c r="M375">
        <v>532.35</v>
      </c>
      <c r="N375">
        <v>646.11099999999999</v>
      </c>
      <c r="O375">
        <v>67972.445000000007</v>
      </c>
      <c r="P375">
        <v>99.918000000000006</v>
      </c>
      <c r="Q375">
        <v>57.085000000000001</v>
      </c>
      <c r="R375">
        <v>1879.6890000000001</v>
      </c>
      <c r="S375">
        <v>464.93099999999998</v>
      </c>
      <c r="T375">
        <v>0.09</v>
      </c>
      <c r="U375">
        <v>8.2000000000000003E-2</v>
      </c>
      <c r="V375">
        <v>109.9</v>
      </c>
      <c r="W375">
        <v>99.918000000000006</v>
      </c>
      <c r="X375">
        <v>144520.03099999999</v>
      </c>
      <c r="Y375">
        <v>74.37</v>
      </c>
      <c r="Z375" s="1">
        <v>409633000000</v>
      </c>
    </row>
    <row r="376" spans="1:26" hidden="1">
      <c r="A376" t="s">
        <v>63</v>
      </c>
      <c r="B376">
        <v>2014</v>
      </c>
      <c r="C376" t="s">
        <v>64</v>
      </c>
      <c r="D376" t="s">
        <v>28</v>
      </c>
      <c r="E376" t="s">
        <v>43</v>
      </c>
      <c r="F376">
        <v>8236880</v>
      </c>
      <c r="G376" s="1">
        <v>631858000000</v>
      </c>
      <c r="H376">
        <v>116.54</v>
      </c>
      <c r="I376">
        <v>116.51</v>
      </c>
      <c r="J376">
        <v>14144.919</v>
      </c>
      <c r="K376">
        <v>-0.03</v>
      </c>
      <c r="L376">
        <v>-2.5999999999999999E-2</v>
      </c>
      <c r="M376">
        <v>528.88499999999999</v>
      </c>
      <c r="N376">
        <v>638.66499999999996</v>
      </c>
      <c r="O376">
        <v>64209.355000000003</v>
      </c>
      <c r="P376">
        <v>99.733999999999995</v>
      </c>
      <c r="Q376">
        <v>56.262999999999998</v>
      </c>
      <c r="R376">
        <v>1895.009</v>
      </c>
      <c r="S376">
        <v>472.738</v>
      </c>
      <c r="T376">
        <v>0.31</v>
      </c>
      <c r="U376">
        <v>0.26600000000000001</v>
      </c>
      <c r="V376">
        <v>116.23</v>
      </c>
      <c r="W376">
        <v>99.733999999999995</v>
      </c>
      <c r="X376">
        <v>137818.31200000001</v>
      </c>
      <c r="Y376">
        <v>78.67</v>
      </c>
      <c r="Z376" s="1">
        <v>424936000000</v>
      </c>
    </row>
    <row r="377" spans="1:26" hidden="1">
      <c r="A377" t="s">
        <v>63</v>
      </c>
      <c r="B377">
        <v>2015</v>
      </c>
      <c r="C377" t="s">
        <v>64</v>
      </c>
      <c r="D377" t="s">
        <v>28</v>
      </c>
      <c r="E377" t="s">
        <v>43</v>
      </c>
      <c r="F377">
        <v>8674633</v>
      </c>
      <c r="G377" s="1">
        <v>674743000000</v>
      </c>
      <c r="H377">
        <v>127.38</v>
      </c>
      <c r="I377">
        <v>127.37</v>
      </c>
      <c r="J377">
        <v>14683.041999999999</v>
      </c>
      <c r="K377">
        <v>-0.01</v>
      </c>
      <c r="L377">
        <v>-8.0000000000000002E-3</v>
      </c>
      <c r="M377">
        <v>585.98699999999997</v>
      </c>
      <c r="N377">
        <v>712.61099999999999</v>
      </c>
      <c r="O377">
        <v>67551.835999999996</v>
      </c>
      <c r="P377">
        <v>99.763999999999996</v>
      </c>
      <c r="Q377">
        <v>58.265999999999998</v>
      </c>
      <c r="R377">
        <v>2036.3230000000001</v>
      </c>
      <c r="S377">
        <v>489.71699999999998</v>
      </c>
      <c r="T377">
        <v>0.3</v>
      </c>
      <c r="U377">
        <v>0.23599999999999999</v>
      </c>
      <c r="V377">
        <v>127.08</v>
      </c>
      <c r="W377">
        <v>99.763999999999996</v>
      </c>
      <c r="X377">
        <v>140994.875</v>
      </c>
      <c r="Y377">
        <v>86.01</v>
      </c>
      <c r="Z377" s="1">
        <v>381973000000</v>
      </c>
    </row>
    <row r="378" spans="1:26" hidden="1">
      <c r="A378" t="s">
        <v>63</v>
      </c>
      <c r="B378">
        <v>2016</v>
      </c>
      <c r="C378" t="s">
        <v>64</v>
      </c>
      <c r="D378" t="s">
        <v>28</v>
      </c>
      <c r="E378" t="s">
        <v>43</v>
      </c>
      <c r="F378">
        <v>9030873</v>
      </c>
      <c r="G378" s="1">
        <v>712265000000</v>
      </c>
      <c r="H378">
        <v>129.61000000000001</v>
      </c>
      <c r="I378">
        <v>130.24</v>
      </c>
      <c r="J378">
        <v>14421.641</v>
      </c>
      <c r="K378">
        <v>0.63</v>
      </c>
      <c r="L378">
        <v>0.48399999999999999</v>
      </c>
      <c r="M378">
        <v>595.20799999999997</v>
      </c>
      <c r="N378">
        <v>715.36500000000001</v>
      </c>
      <c r="O378">
        <v>65908.156000000003</v>
      </c>
      <c r="P378">
        <v>99.753</v>
      </c>
      <c r="Q378">
        <v>56.350999999999999</v>
      </c>
      <c r="R378">
        <v>2112.09</v>
      </c>
      <c r="S378">
        <v>531.90499999999997</v>
      </c>
      <c r="T378">
        <v>0.32</v>
      </c>
      <c r="U378">
        <v>0.247</v>
      </c>
      <c r="V378">
        <v>129.29</v>
      </c>
      <c r="W378">
        <v>99.753</v>
      </c>
      <c r="X378">
        <v>140575.79699999999</v>
      </c>
      <c r="Y378">
        <v>87.52</v>
      </c>
      <c r="Z378" s="1">
        <v>381717000000</v>
      </c>
    </row>
    <row r="379" spans="1:26" hidden="1">
      <c r="A379" t="s">
        <v>63</v>
      </c>
      <c r="B379">
        <v>2017</v>
      </c>
      <c r="C379" t="s">
        <v>64</v>
      </c>
      <c r="D379" t="s">
        <v>28</v>
      </c>
      <c r="E379" t="s">
        <v>43</v>
      </c>
      <c r="F379">
        <v>9234330</v>
      </c>
      <c r="G379" s="1">
        <v>717500000000</v>
      </c>
      <c r="H379">
        <v>134.57</v>
      </c>
      <c r="I379">
        <v>134.47</v>
      </c>
      <c r="J379">
        <v>14561.966</v>
      </c>
      <c r="K379">
        <v>-0.1</v>
      </c>
      <c r="L379">
        <v>-7.3999999999999996E-2</v>
      </c>
      <c r="M379">
        <v>527.33500000000004</v>
      </c>
      <c r="N379">
        <v>656.56799999999998</v>
      </c>
      <c r="O379">
        <v>57105.945</v>
      </c>
      <c r="P379">
        <v>99.442999999999998</v>
      </c>
      <c r="Q379">
        <v>54.183</v>
      </c>
      <c r="R379">
        <v>2034.374</v>
      </c>
      <c r="S379">
        <v>528.577</v>
      </c>
      <c r="T379">
        <v>0.75</v>
      </c>
      <c r="U379">
        <v>0.55700000000000005</v>
      </c>
      <c r="V379">
        <v>133.82</v>
      </c>
      <c r="W379">
        <v>99.442999999999998</v>
      </c>
      <c r="X379">
        <v>131237.28099999999</v>
      </c>
      <c r="Y379">
        <v>90.6</v>
      </c>
      <c r="Z379" s="1">
        <v>403365000000</v>
      </c>
    </row>
    <row r="380" spans="1:26" hidden="1">
      <c r="A380" t="s">
        <v>63</v>
      </c>
      <c r="B380">
        <v>2018</v>
      </c>
      <c r="C380" t="s">
        <v>64</v>
      </c>
      <c r="D380" t="s">
        <v>28</v>
      </c>
      <c r="E380" t="s">
        <v>43</v>
      </c>
      <c r="F380">
        <v>9346870</v>
      </c>
      <c r="G380" s="1">
        <v>726928000000</v>
      </c>
      <c r="H380">
        <v>136.01</v>
      </c>
      <c r="I380">
        <v>135.97999999999999</v>
      </c>
      <c r="J380">
        <v>14548.186</v>
      </c>
      <c r="K380">
        <v>-0.03</v>
      </c>
      <c r="L380">
        <v>-2.1999999999999999E-2</v>
      </c>
      <c r="M380">
        <v>464.334</v>
      </c>
      <c r="N380">
        <v>581.16600000000005</v>
      </c>
      <c r="O380">
        <v>49678.02</v>
      </c>
      <c r="P380">
        <v>99.117999999999995</v>
      </c>
      <c r="Q380">
        <v>51.316000000000003</v>
      </c>
      <c r="R380">
        <v>2046.3979999999999</v>
      </c>
      <c r="S380">
        <v>526.05700000000002</v>
      </c>
      <c r="T380">
        <v>1.2</v>
      </c>
      <c r="U380">
        <v>0.88200000000000001</v>
      </c>
      <c r="V380">
        <v>134.81</v>
      </c>
      <c r="W380">
        <v>99.117999999999995</v>
      </c>
      <c r="X380">
        <v>121187.641</v>
      </c>
      <c r="Y380">
        <v>91.29</v>
      </c>
      <c r="Z380" s="1">
        <v>440560000000</v>
      </c>
    </row>
    <row r="381" spans="1:26" hidden="1">
      <c r="A381" t="s">
        <v>63</v>
      </c>
      <c r="B381">
        <v>2019</v>
      </c>
      <c r="C381" t="s">
        <v>64</v>
      </c>
      <c r="D381" t="s">
        <v>28</v>
      </c>
      <c r="E381" t="s">
        <v>43</v>
      </c>
      <c r="F381">
        <v>9377855</v>
      </c>
      <c r="G381" s="1">
        <v>734983000000</v>
      </c>
      <c r="H381">
        <v>138.44999999999999</v>
      </c>
      <c r="I381">
        <v>138.44</v>
      </c>
      <c r="J381">
        <v>14762.438</v>
      </c>
      <c r="K381">
        <v>-0.01</v>
      </c>
      <c r="L381">
        <v>-7.0000000000000001E-3</v>
      </c>
      <c r="M381">
        <v>537.19100000000003</v>
      </c>
      <c r="N381">
        <v>670.18</v>
      </c>
      <c r="O381">
        <v>57282.961000000003</v>
      </c>
      <c r="P381">
        <v>97.355999999999995</v>
      </c>
      <c r="Q381">
        <v>55.097000000000001</v>
      </c>
      <c r="R381">
        <v>2092.2190000000001</v>
      </c>
      <c r="S381">
        <v>516.47199999999998</v>
      </c>
      <c r="T381">
        <v>3.66</v>
      </c>
      <c r="U381">
        <v>2.6440000000000001</v>
      </c>
      <c r="V381">
        <v>134.79</v>
      </c>
      <c r="W381">
        <v>97.355999999999995</v>
      </c>
      <c r="X381">
        <v>129769.29700000001</v>
      </c>
      <c r="Y381">
        <v>91.39</v>
      </c>
      <c r="Z381" s="1">
        <v>433926000000</v>
      </c>
    </row>
    <row r="382" spans="1:26" hidden="1">
      <c r="A382" t="s">
        <v>63</v>
      </c>
      <c r="B382">
        <v>2020</v>
      </c>
      <c r="C382" t="s">
        <v>64</v>
      </c>
      <c r="D382" t="s">
        <v>28</v>
      </c>
      <c r="E382" t="s">
        <v>43</v>
      </c>
      <c r="F382">
        <v>9448529</v>
      </c>
      <c r="G382" s="1">
        <v>698549000000</v>
      </c>
      <c r="H382">
        <v>137.31</v>
      </c>
      <c r="I382">
        <v>137.28</v>
      </c>
      <c r="J382">
        <v>14529.245999999999</v>
      </c>
      <c r="K382">
        <v>-0.03</v>
      </c>
      <c r="L382">
        <v>-2.1999999999999999E-2</v>
      </c>
      <c r="M382">
        <v>536.87900000000002</v>
      </c>
      <c r="N382">
        <v>676.83299999999997</v>
      </c>
      <c r="O382">
        <v>56821.406000000003</v>
      </c>
      <c r="P382">
        <v>94.509</v>
      </c>
      <c r="Q382">
        <v>57.183999999999997</v>
      </c>
      <c r="R382">
        <v>1941.367</v>
      </c>
      <c r="S382">
        <v>465.21</v>
      </c>
      <c r="T382">
        <v>5.18</v>
      </c>
      <c r="U382">
        <v>3.7719999999999998</v>
      </c>
      <c r="V382">
        <v>130.5</v>
      </c>
      <c r="W382">
        <v>95.04</v>
      </c>
      <c r="X382">
        <v>125363.31200000001</v>
      </c>
      <c r="Y382">
        <v>88.66</v>
      </c>
      <c r="Z382" s="1">
        <v>357162000000</v>
      </c>
    </row>
    <row r="383" spans="1:26" hidden="1">
      <c r="A383" t="s">
        <v>63</v>
      </c>
      <c r="B383">
        <v>2021</v>
      </c>
      <c r="C383" t="s">
        <v>64</v>
      </c>
      <c r="D383" t="s">
        <v>28</v>
      </c>
      <c r="E383" t="s">
        <v>43</v>
      </c>
      <c r="F383">
        <v>9789055</v>
      </c>
      <c r="G383" s="1">
        <v>725905000000</v>
      </c>
      <c r="H383">
        <v>149.05000000000001</v>
      </c>
      <c r="I383">
        <v>149.26</v>
      </c>
      <c r="J383">
        <v>15247.641</v>
      </c>
      <c r="K383">
        <v>0.21</v>
      </c>
      <c r="L383">
        <v>0.14099999999999999</v>
      </c>
      <c r="M383">
        <v>531.226</v>
      </c>
      <c r="N383">
        <v>653.24199999999996</v>
      </c>
      <c r="O383">
        <v>54267.343999999997</v>
      </c>
      <c r="P383">
        <v>86.709000000000003</v>
      </c>
      <c r="Q383">
        <v>52.716999999999999</v>
      </c>
      <c r="R383">
        <v>1930.451</v>
      </c>
      <c r="S383">
        <v>514.36199999999997</v>
      </c>
      <c r="T383">
        <v>6.25</v>
      </c>
      <c r="U383">
        <v>4.1929999999999996</v>
      </c>
      <c r="V383">
        <v>132.25</v>
      </c>
      <c r="W383">
        <v>88.728999999999999</v>
      </c>
      <c r="X383">
        <v>126734.023</v>
      </c>
      <c r="Y383">
        <v>90.22</v>
      </c>
      <c r="Z383" s="1">
        <v>422441000000</v>
      </c>
    </row>
    <row r="384" spans="1:26" hidden="1">
      <c r="A384" t="s">
        <v>63</v>
      </c>
      <c r="B384">
        <v>2022</v>
      </c>
      <c r="C384" t="s">
        <v>64</v>
      </c>
      <c r="D384" t="s">
        <v>28</v>
      </c>
      <c r="E384" t="s">
        <v>43</v>
      </c>
      <c r="F384">
        <v>10242085</v>
      </c>
      <c r="G384" s="1">
        <v>779702000000</v>
      </c>
      <c r="H384">
        <v>155.41999999999999</v>
      </c>
      <c r="I384">
        <v>155.31</v>
      </c>
      <c r="J384">
        <v>15163.904</v>
      </c>
      <c r="K384">
        <v>-0.11</v>
      </c>
      <c r="L384">
        <v>-7.0999999999999994E-2</v>
      </c>
      <c r="M384">
        <v>541.851</v>
      </c>
      <c r="N384">
        <v>664.22699999999998</v>
      </c>
      <c r="O384">
        <v>52904.324000000001</v>
      </c>
      <c r="P384">
        <v>82.081000000000003</v>
      </c>
      <c r="Q384">
        <v>49.17</v>
      </c>
      <c r="R384">
        <v>2157.3180000000002</v>
      </c>
      <c r="S384">
        <v>590.30200000000002</v>
      </c>
      <c r="T384">
        <v>7.75</v>
      </c>
      <c r="U384">
        <v>4.9859999999999998</v>
      </c>
      <c r="V384">
        <v>127.57</v>
      </c>
      <c r="W384">
        <v>82.081000000000003</v>
      </c>
      <c r="X384">
        <v>132096.891</v>
      </c>
      <c r="Y384">
        <v>86.8</v>
      </c>
      <c r="Z384" s="1">
        <v>511403000000</v>
      </c>
    </row>
    <row r="385" spans="1:26" hidden="1">
      <c r="A385" t="s">
        <v>63</v>
      </c>
      <c r="B385">
        <v>2023</v>
      </c>
      <c r="C385" t="s">
        <v>64</v>
      </c>
      <c r="D385" t="s">
        <v>28</v>
      </c>
      <c r="E385" t="s">
        <v>43</v>
      </c>
      <c r="F385">
        <v>10642089</v>
      </c>
      <c r="G385" s="1">
        <v>905673000000</v>
      </c>
      <c r="H385">
        <v>167.53</v>
      </c>
      <c r="I385">
        <v>167.43</v>
      </c>
      <c r="J385">
        <v>15732.812</v>
      </c>
      <c r="K385">
        <v>-0.1</v>
      </c>
      <c r="L385">
        <v>-0.06</v>
      </c>
      <c r="M385">
        <v>552.68799999999999</v>
      </c>
      <c r="N385">
        <v>670.1</v>
      </c>
      <c r="O385">
        <v>51934.125</v>
      </c>
      <c r="P385">
        <v>70.686000000000007</v>
      </c>
      <c r="Q385">
        <v>46.889000000000003</v>
      </c>
      <c r="R385">
        <v>2096.123</v>
      </c>
      <c r="S385">
        <v>610.67600000000004</v>
      </c>
      <c r="T385">
        <v>14.67</v>
      </c>
      <c r="U385">
        <v>8.7569999999999997</v>
      </c>
      <c r="V385">
        <v>118.42</v>
      </c>
      <c r="W385">
        <v>70.686000000000007</v>
      </c>
      <c r="X385">
        <v>134679.92199999999</v>
      </c>
      <c r="Y385">
        <v>81.05</v>
      </c>
      <c r="Z385" s="1">
        <v>522622000000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B78C-9E31-4B9B-AB97-B043170810FE}">
  <dimension ref="A3:B8"/>
  <sheetViews>
    <sheetView workbookViewId="0">
      <selection activeCell="P25" sqref="P25"/>
    </sheetView>
  </sheetViews>
  <sheetFormatPr defaultRowHeight="15"/>
  <cols>
    <col min="1" max="1" width="13.42578125" bestFit="1" customWidth="1"/>
    <col min="2" max="2" width="28.28515625" bestFit="1" customWidth="1"/>
  </cols>
  <sheetData>
    <row r="3" spans="1:2">
      <c r="A3" s="2" t="s">
        <v>65</v>
      </c>
      <c r="B3" t="s">
        <v>130</v>
      </c>
    </row>
    <row r="4" spans="1:2">
      <c r="A4" s="3">
        <v>2000</v>
      </c>
      <c r="B4" s="6">
        <v>0.19448990725586468</v>
      </c>
    </row>
    <row r="5" spans="1:2">
      <c r="A5" s="3">
        <v>2001</v>
      </c>
      <c r="B5" s="6">
        <v>0.18077066038904718</v>
      </c>
    </row>
    <row r="6" spans="1:2">
      <c r="A6" s="3">
        <v>2002</v>
      </c>
      <c r="B6" s="6">
        <v>0.16467586686767943</v>
      </c>
    </row>
    <row r="7" spans="1:2">
      <c r="A7" s="3">
        <v>2003</v>
      </c>
      <c r="B7" s="6">
        <v>0.14350797266514806</v>
      </c>
    </row>
    <row r="8" spans="1:2">
      <c r="A8" s="3" t="s">
        <v>66</v>
      </c>
      <c r="B8" s="6">
        <v>0.68344440717773935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B54A-0AA9-433D-897A-C3D3102E4586}">
  <dimension ref="A3:C8"/>
  <sheetViews>
    <sheetView workbookViewId="0">
      <selection activeCell="C18" sqref="C18"/>
    </sheetView>
  </sheetViews>
  <sheetFormatPr defaultRowHeight="15"/>
  <cols>
    <col min="1" max="1" width="13.42578125" bestFit="1" customWidth="1"/>
    <col min="2" max="2" width="31" bestFit="1" customWidth="1"/>
    <col min="3" max="3" width="30.140625" bestFit="1" customWidth="1"/>
  </cols>
  <sheetData>
    <row r="3" spans="1:3">
      <c r="A3" s="2" t="s">
        <v>65</v>
      </c>
      <c r="B3" t="s">
        <v>128</v>
      </c>
      <c r="C3" t="s">
        <v>129</v>
      </c>
    </row>
    <row r="4" spans="1:3">
      <c r="A4" s="3">
        <v>2000</v>
      </c>
      <c r="B4" s="20">
        <v>202.125</v>
      </c>
      <c r="C4" s="20">
        <v>452.60500000000002</v>
      </c>
    </row>
    <row r="5" spans="1:3">
      <c r="A5" s="3">
        <v>2001</v>
      </c>
      <c r="B5" s="20">
        <v>242.55</v>
      </c>
      <c r="C5" s="20">
        <v>437.28899999999999</v>
      </c>
    </row>
    <row r="6" spans="1:3">
      <c r="A6" s="3">
        <v>2002</v>
      </c>
      <c r="B6" s="20">
        <v>262.76299999999998</v>
      </c>
      <c r="C6" s="20">
        <v>433.108</v>
      </c>
    </row>
    <row r="7" spans="1:3">
      <c r="A7" s="3">
        <v>2003</v>
      </c>
      <c r="B7" s="20">
        <v>289.71300000000002</v>
      </c>
      <c r="C7" s="20">
        <v>431.15300000000002</v>
      </c>
    </row>
    <row r="8" spans="1:3">
      <c r="A8" s="3" t="s">
        <v>66</v>
      </c>
      <c r="B8" s="20">
        <v>997.15100000000007</v>
      </c>
      <c r="C8" s="20">
        <v>1754.155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911B-35EF-495A-8559-1F7908A73C38}">
  <dimension ref="A3:C8"/>
  <sheetViews>
    <sheetView workbookViewId="0">
      <selection activeCell="A3" sqref="A3"/>
    </sheetView>
  </sheetViews>
  <sheetFormatPr defaultRowHeight="15"/>
  <cols>
    <col min="1" max="1" width="13.42578125" bestFit="1" customWidth="1"/>
    <col min="2" max="2" width="34" bestFit="1" customWidth="1"/>
    <col min="3" max="3" width="32" bestFit="1" customWidth="1"/>
  </cols>
  <sheetData>
    <row r="3" spans="1:3">
      <c r="A3" s="2" t="s">
        <v>65</v>
      </c>
      <c r="B3" t="s">
        <v>126</v>
      </c>
      <c r="C3" t="s">
        <v>127</v>
      </c>
    </row>
    <row r="4" spans="1:3">
      <c r="A4" s="3">
        <v>2000</v>
      </c>
      <c r="B4" s="20">
        <v>73.319999999999993</v>
      </c>
      <c r="C4" s="20">
        <v>73.17</v>
      </c>
    </row>
    <row r="5" spans="1:3">
      <c r="A5" s="3">
        <v>2001</v>
      </c>
      <c r="B5" s="20">
        <v>80.709999999999994</v>
      </c>
      <c r="C5" s="20">
        <v>80.5</v>
      </c>
    </row>
    <row r="6" spans="1:3">
      <c r="A6" s="3">
        <v>2002</v>
      </c>
      <c r="B6" s="20">
        <v>86.23</v>
      </c>
      <c r="C6" s="20">
        <v>85.45</v>
      </c>
    </row>
    <row r="7" spans="1:3">
      <c r="A7" s="3">
        <v>2003</v>
      </c>
      <c r="B7" s="20">
        <v>92.19</v>
      </c>
      <c r="C7" s="20">
        <v>91.27</v>
      </c>
    </row>
    <row r="8" spans="1:3">
      <c r="A8" s="3" t="s">
        <v>66</v>
      </c>
      <c r="B8" s="20">
        <v>332.45</v>
      </c>
      <c r="C8" s="20">
        <v>330.39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BED2-F3F4-4097-B355-EA48BD6B0A94}">
  <dimension ref="A3:B28"/>
  <sheetViews>
    <sheetView workbookViewId="0">
      <selection activeCell="B7" sqref="B7"/>
    </sheetView>
  </sheetViews>
  <sheetFormatPr defaultRowHeight="15"/>
  <cols>
    <col min="1" max="1" width="13.42578125" bestFit="1" customWidth="1"/>
    <col min="2" max="2" width="23.7109375" bestFit="1" customWidth="1"/>
  </cols>
  <sheetData>
    <row r="3" spans="1:2">
      <c r="A3" s="2" t="s">
        <v>65</v>
      </c>
      <c r="B3" t="s">
        <v>131</v>
      </c>
    </row>
    <row r="4" spans="1:2">
      <c r="A4" s="3">
        <v>2000</v>
      </c>
      <c r="B4" s="20">
        <v>-0.15</v>
      </c>
    </row>
    <row r="5" spans="1:2">
      <c r="A5" s="3">
        <v>2001</v>
      </c>
      <c r="B5" s="20">
        <v>-0.21</v>
      </c>
    </row>
    <row r="6" spans="1:2">
      <c r="A6" s="3">
        <v>2002</v>
      </c>
      <c r="B6" s="20">
        <v>-0.78</v>
      </c>
    </row>
    <row r="7" spans="1:2">
      <c r="A7" s="3">
        <v>2003</v>
      </c>
      <c r="B7" s="20">
        <v>-0.92</v>
      </c>
    </row>
    <row r="8" spans="1:2">
      <c r="A8" s="3">
        <v>2004</v>
      </c>
      <c r="B8" s="20">
        <v>-0.7</v>
      </c>
    </row>
    <row r="9" spans="1:2">
      <c r="A9" s="3">
        <v>2005</v>
      </c>
      <c r="B9" s="20">
        <v>-0.78</v>
      </c>
    </row>
    <row r="10" spans="1:2">
      <c r="A10" s="3">
        <v>2006</v>
      </c>
      <c r="B10" s="20">
        <v>-0.35</v>
      </c>
    </row>
    <row r="11" spans="1:2">
      <c r="A11" s="3">
        <v>2007</v>
      </c>
      <c r="B11" s="20">
        <v>-0.56000000000000005</v>
      </c>
    </row>
    <row r="12" spans="1:2">
      <c r="A12" s="3">
        <v>2008</v>
      </c>
      <c r="B12" s="20">
        <v>-0.9</v>
      </c>
    </row>
    <row r="13" spans="1:2">
      <c r="A13" s="3">
        <v>2009</v>
      </c>
      <c r="B13" s="20">
        <v>-0.94</v>
      </c>
    </row>
    <row r="14" spans="1:2">
      <c r="A14" s="3">
        <v>2010</v>
      </c>
      <c r="B14" s="20">
        <v>-1.44</v>
      </c>
    </row>
    <row r="15" spans="1:2">
      <c r="A15" s="3">
        <v>2011</v>
      </c>
      <c r="B15" s="20">
        <v>-1.58</v>
      </c>
    </row>
    <row r="16" spans="1:2">
      <c r="A16" s="3">
        <v>2012</v>
      </c>
      <c r="B16" s="20">
        <v>-0.4</v>
      </c>
    </row>
    <row r="17" spans="1:2">
      <c r="A17" s="3">
        <v>2013</v>
      </c>
      <c r="B17" s="20">
        <v>-0.4</v>
      </c>
    </row>
    <row r="18" spans="1:2">
      <c r="A18" s="3">
        <v>2014</v>
      </c>
      <c r="B18" s="20">
        <v>-0.68</v>
      </c>
    </row>
    <row r="19" spans="1:2">
      <c r="A19" s="3">
        <v>2015</v>
      </c>
      <c r="B19" s="20">
        <v>-0.69</v>
      </c>
    </row>
    <row r="20" spans="1:2">
      <c r="A20" s="3">
        <v>2016</v>
      </c>
      <c r="B20" s="20">
        <v>-0.27</v>
      </c>
    </row>
    <row r="21" spans="1:2">
      <c r="A21" s="3">
        <v>2017</v>
      </c>
      <c r="B21" s="20">
        <v>-0.34</v>
      </c>
    </row>
    <row r="22" spans="1:2">
      <c r="A22" s="3">
        <v>2018</v>
      </c>
      <c r="B22" s="20">
        <v>-0.56999999999999995</v>
      </c>
    </row>
    <row r="23" spans="1:2">
      <c r="A23" s="3">
        <v>2019</v>
      </c>
      <c r="B23" s="20">
        <v>-0.79</v>
      </c>
    </row>
    <row r="24" spans="1:2">
      <c r="A24" s="3">
        <v>2020</v>
      </c>
      <c r="B24" s="20">
        <v>-1.42</v>
      </c>
    </row>
    <row r="25" spans="1:2">
      <c r="A25" s="3">
        <v>2021</v>
      </c>
      <c r="B25" s="20">
        <v>-1.47</v>
      </c>
    </row>
    <row r="26" spans="1:2">
      <c r="A26" s="3">
        <v>2022</v>
      </c>
      <c r="B26" s="20">
        <v>-1.57</v>
      </c>
    </row>
    <row r="27" spans="1:2">
      <c r="A27" s="3">
        <v>2023</v>
      </c>
      <c r="B27" s="20">
        <v>-1.39</v>
      </c>
    </row>
    <row r="28" spans="1:2">
      <c r="A28" s="3" t="s">
        <v>66</v>
      </c>
      <c r="B28" s="20">
        <v>-19.3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9EA2-4941-4B7D-8ACA-EB840376AC06}">
  <dimension ref="A1:R34"/>
  <sheetViews>
    <sheetView workbookViewId="0">
      <selection activeCell="C34" sqref="C34"/>
    </sheetView>
  </sheetViews>
  <sheetFormatPr defaultRowHeight="15"/>
  <cols>
    <col min="1" max="1" width="11.5703125" bestFit="1" customWidth="1"/>
    <col min="2" max="2" width="28.5703125" customWidth="1"/>
    <col min="3" max="3" width="26.7109375" customWidth="1"/>
    <col min="4" max="4" width="25.7109375" customWidth="1"/>
    <col min="5" max="5" width="28.140625" customWidth="1"/>
    <col min="6" max="6" width="24.85546875" customWidth="1"/>
    <col min="7" max="7" width="27.28515625" customWidth="1"/>
    <col min="8" max="8" width="23.5703125" customWidth="1"/>
    <col min="9" max="9" width="18.5703125" customWidth="1"/>
    <col min="10" max="10" width="23.140625" customWidth="1"/>
    <col min="11" max="11" width="26.28515625" customWidth="1"/>
    <col min="12" max="12" width="23.42578125" customWidth="1"/>
    <col min="13" max="13" width="18" customWidth="1"/>
    <col min="14" max="14" width="14.85546875" bestFit="1" customWidth="1"/>
    <col min="16" max="16" width="14.85546875" bestFit="1" customWidth="1"/>
    <col min="18" max="18" width="21" customWidth="1"/>
  </cols>
  <sheetData>
    <row r="1" spans="1:18">
      <c r="A1" s="19" t="s">
        <v>67</v>
      </c>
      <c r="B1" s="19"/>
      <c r="C1" s="19"/>
      <c r="D1" s="19"/>
      <c r="E1" s="19"/>
      <c r="F1" s="19"/>
      <c r="G1" s="19"/>
      <c r="H1" s="19"/>
      <c r="I1" s="19"/>
      <c r="J1" s="19"/>
      <c r="K1" s="19"/>
      <c r="L1" s="19"/>
    </row>
    <row r="2" spans="1:18">
      <c r="A2" t="s">
        <v>1</v>
      </c>
      <c r="B2" t="s">
        <v>68</v>
      </c>
      <c r="C2" s="4" t="s">
        <v>69</v>
      </c>
      <c r="D2" t="s">
        <v>9</v>
      </c>
      <c r="E2" t="s">
        <v>10</v>
      </c>
      <c r="F2" t="s">
        <v>70</v>
      </c>
      <c r="G2" t="s">
        <v>71</v>
      </c>
      <c r="H2" t="s">
        <v>14</v>
      </c>
      <c r="I2" t="s">
        <v>72</v>
      </c>
      <c r="J2" t="s">
        <v>73</v>
      </c>
      <c r="K2" t="s">
        <v>74</v>
      </c>
      <c r="L2" t="s">
        <v>20</v>
      </c>
      <c r="M2" t="s">
        <v>75</v>
      </c>
      <c r="N2" t="s">
        <v>76</v>
      </c>
      <c r="O2" t="s">
        <v>23</v>
      </c>
      <c r="P2" t="s">
        <v>77</v>
      </c>
      <c r="Q2" t="s">
        <v>78</v>
      </c>
      <c r="R2" t="s">
        <v>15</v>
      </c>
    </row>
    <row r="3" spans="1:18">
      <c r="A3">
        <v>2000</v>
      </c>
      <c r="B3">
        <f>SUMIFS(Table1[electricity_generation],Table1[country],"Egypt",Table1[year],2000)</f>
        <v>73.319999999999993</v>
      </c>
      <c r="C3">
        <f>SUMIFS(Table1[electricity_demand],Table1[country],"Egypt",Table1[year],2000)</f>
        <v>73.17</v>
      </c>
      <c r="D3">
        <v>1001.186</v>
      </c>
      <c r="E3">
        <v>-0.15</v>
      </c>
      <c r="F3">
        <f>SUMIFS(Table1[gas_production],Table1[country],"Egypt",Table1[year],2000)</f>
        <v>202.125</v>
      </c>
      <c r="G3">
        <f>SUMIFS(Table1[gas_consumption],Table1[country],"Egypt",Table1[year],2000)</f>
        <v>192.5</v>
      </c>
      <c r="H3">
        <v>2765.68</v>
      </c>
      <c r="I3">
        <f>SUMIFS(Table1[oil_production],Table1[country],"Egypt",Table1[year],2000)</f>
        <v>452.60500000000002</v>
      </c>
      <c r="J3">
        <f>SUMIFS(Table1[oil_consumption],Table1[country],"Egypt",Table1[year],EnergyData!B26)</f>
        <v>323.75900000000001</v>
      </c>
      <c r="K3">
        <f>SUMIFS(Table1[renewables_electricity],Table1[country],"Egypt",Table1[year],EnergyData!B26)</f>
        <v>14.26</v>
      </c>
      <c r="L3">
        <v>19.449000000000002</v>
      </c>
      <c r="M3">
        <f>SUMIFS(Table1[fossil_electricity],Table1[country],"Egypt",Table1[year],EnergyData!B26)</f>
        <v>59.06</v>
      </c>
      <c r="N3" s="6">
        <f t="shared" ref="N3:N26" si="0">IFERROR(K3/(K3+M3),0)</f>
        <v>0.19448990725586468</v>
      </c>
      <c r="O3">
        <v>7779.2539999999999</v>
      </c>
      <c r="P3">
        <f>Table3[[#This Row],[Gas Production (TWH eq)]]-Table3[[#This Row],[Gas Consumption (TWH eq)]]</f>
        <v>9.625</v>
      </c>
      <c r="Q3" s="5">
        <f>SUMIFS(Table1[gdp_worldbank_usd],Table1[country],"Egypt",Table1[year],EnergyData!B26)</f>
        <v>99838543960</v>
      </c>
      <c r="R3">
        <v>57.542000000000002</v>
      </c>
    </row>
    <row r="4" spans="1:18">
      <c r="A4">
        <f>A3+1</f>
        <v>2001</v>
      </c>
      <c r="B4">
        <f>SUMIFS(Table1[electricity_generation],Table1[country],"Egypt",Table1[year],2001)</f>
        <v>80.709999999999994</v>
      </c>
      <c r="C4">
        <f>SUMIFS(Table1[electricity_demand],Table1[country],"Egypt",Table1[year],2000 + 1)</f>
        <v>80.5</v>
      </c>
      <c r="D4">
        <v>1078.336</v>
      </c>
      <c r="E4">
        <v>-0.21</v>
      </c>
      <c r="F4">
        <f>SUMIFS(Table1[gas_production],Table1[country],"Egypt",Table1[year],2001)</f>
        <v>242.55</v>
      </c>
      <c r="G4">
        <f>SUMIFS(Table1[gas_consumption],Table1[country],"Egypt",Table1[year],2001)</f>
        <v>235.81200000000001</v>
      </c>
      <c r="H4">
        <v>3249.0740000000001</v>
      </c>
      <c r="I4">
        <f>SUMIFS(Table1[oil_production],Table1[country],"Egypt",Table1[year],2001)</f>
        <v>437.28899999999999</v>
      </c>
      <c r="J4">
        <f>SUMIFS(Table1[oil_consumption],Table1[country],"Egypt",Table1[year],EnergyData!B27)</f>
        <v>305.73399999999998</v>
      </c>
      <c r="K4">
        <f>SUMIFS(Table1[renewables_electricity],Table1[country],"Egypt",Table1[year],EnergyData!B27)</f>
        <v>14.59</v>
      </c>
      <c r="L4">
        <v>18.077000000000002</v>
      </c>
      <c r="M4">
        <f>SUMIFS(Table1[fossil_electricity],Table1[country],"Egypt",Table1[year],EnergyData!B27)</f>
        <v>66.12</v>
      </c>
      <c r="N4" s="6">
        <f t="shared" si="0"/>
        <v>0.18077066038904718</v>
      </c>
      <c r="O4">
        <v>7947.7250000000004</v>
      </c>
      <c r="P4">
        <f>Table3[[#This Row],[Gas Production (TWH eq)]]-Table3[[#This Row],[Gas Consumption (TWH eq)]]</f>
        <v>6.7379999999999995</v>
      </c>
      <c r="Q4" s="5">
        <f>SUMIFS(Table1[gdp_worldbank_usd],Table1[country],"Egypt",Table1[year],EnergyData!B27)</f>
        <v>96684636119</v>
      </c>
      <c r="R4">
        <v>60.055</v>
      </c>
    </row>
    <row r="5" spans="1:18">
      <c r="A5">
        <f t="shared" ref="A5:A26" si="1">A4+1</f>
        <v>2002</v>
      </c>
      <c r="B5">
        <f>SUMIFS(Table1[electricity_generation],Table1[country],"Egypt",Table1[year],2002)</f>
        <v>86.23</v>
      </c>
      <c r="C5">
        <f>SUMIFS(Table1[electricity_demand],Table1[country],"Egypt",Table1[year],2002)</f>
        <v>85.45</v>
      </c>
      <c r="D5">
        <v>1120.8150000000001</v>
      </c>
      <c r="E5">
        <v>-0.78</v>
      </c>
      <c r="F5">
        <f>SUMIFS(Table1[gas_production],Table1[country],"Egypt",Table1[year],2002)</f>
        <v>262.76299999999998</v>
      </c>
      <c r="G5">
        <f>SUMIFS(Table1[gas_consumption],Table1[country],"Egypt",Table1[year],2002)</f>
        <v>255.06200000000001</v>
      </c>
      <c r="H5">
        <v>3446.5569999999998</v>
      </c>
      <c r="I5">
        <f>SUMIFS(Table1[oil_production],Table1[country],"Egypt",Table1[year],2002)</f>
        <v>433.108</v>
      </c>
      <c r="J5">
        <f>SUMIFS(Table1[oil_consumption],Table1[country],"Egypt",Table1[year],EnergyData!B28)</f>
        <v>304.16800000000001</v>
      </c>
      <c r="K5">
        <f>SUMIFS(Table1[renewables_electricity],Table1[country],"Egypt",Table1[year],EnergyData!B28)</f>
        <v>14.2</v>
      </c>
      <c r="L5">
        <v>16.468</v>
      </c>
      <c r="M5">
        <f>SUMIFS(Table1[fossil_electricity],Table1[country],"Egypt",Table1[year],EnergyData!B28)</f>
        <v>72.03</v>
      </c>
      <c r="N5" s="6">
        <f t="shared" si="0"/>
        <v>0.16467586686767943</v>
      </c>
      <c r="O5">
        <v>8004.3379999999997</v>
      </c>
      <c r="P5">
        <f>Table3[[#This Row],[Gas Production (TWH eq)]]-Table3[[#This Row],[Gas Consumption (TWH eq)]]</f>
        <v>7.700999999999965</v>
      </c>
      <c r="Q5" s="5">
        <f>SUMIFS(Table1[gdp_worldbank_usd],Table1[country],"Egypt",Table1[year],EnergyData!B28)</f>
        <v>85146067416</v>
      </c>
      <c r="R5">
        <v>66.623999999999995</v>
      </c>
    </row>
    <row r="6" spans="1:18">
      <c r="A6">
        <f t="shared" si="1"/>
        <v>2003</v>
      </c>
      <c r="B6">
        <f>SUMIFS(Table1[electricity_generation],Table1[country],"Egypt",Table1[year],2003)</f>
        <v>92.19</v>
      </c>
      <c r="C6">
        <f>SUMIFS(Table1[electricity_demand],Table1[country],"Egypt",Table1[year],2003)</f>
        <v>91.27</v>
      </c>
      <c r="D6">
        <v>1172.329</v>
      </c>
      <c r="E6">
        <v>-0.92</v>
      </c>
      <c r="F6">
        <f>SUMIFS(Table1[gas_production],Table1[country],"Egypt",Table1[year],2003)</f>
        <v>289.71300000000002</v>
      </c>
      <c r="G6">
        <f>SUMIFS(Table1[gas_consumption],Table1[country],"Egypt",Table1[year],2003)</f>
        <v>285.86200000000002</v>
      </c>
      <c r="H6">
        <v>3721.25</v>
      </c>
      <c r="I6">
        <f>SUMIFS(Table1[oil_production],Table1[country],"Egypt",Table1[year],2003)</f>
        <v>431.15300000000002</v>
      </c>
      <c r="J6">
        <f>SUMIFS(Table1[oil_consumption],Table1[country],"Egypt",Table1[year],EnergyData!B29)</f>
        <v>311.87799999999999</v>
      </c>
      <c r="K6">
        <f>SUMIFS(Table1[renewables_electricity],Table1[country],"Egypt",Table1[year],EnergyData!B29)</f>
        <v>13.23</v>
      </c>
      <c r="L6">
        <v>14.351000000000001</v>
      </c>
      <c r="M6">
        <f>SUMIFS(Table1[fossil_electricity],Table1[country],"Egypt",Table1[year],EnergyData!B29)</f>
        <v>78.959999999999994</v>
      </c>
      <c r="N6" s="6">
        <f t="shared" si="0"/>
        <v>0.14350797266514806</v>
      </c>
      <c r="O6">
        <v>8297.5229999999992</v>
      </c>
      <c r="P6">
        <f>Table3[[#This Row],[Gas Production (TWH eq)]]-Table3[[#This Row],[Gas Consumption (TWH eq)]]</f>
        <v>3.8509999999999991</v>
      </c>
      <c r="Q6" s="5">
        <f>SUMIFS(Table1[gdp_worldbank_usd],Table1[country],"Egypt",Table1[year],EnergyData!B29)</f>
        <v>80288461538</v>
      </c>
      <c r="R6">
        <v>69.444000000000003</v>
      </c>
    </row>
    <row r="7" spans="1:18">
      <c r="A7">
        <f t="shared" si="1"/>
        <v>2004</v>
      </c>
      <c r="B7">
        <f>SUMIFS(Table1[electricity_generation],Table1[country],"Egypt",Table1[year],2004)</f>
        <v>98.25</v>
      </c>
      <c r="C7">
        <f>SUMIFS(Table1[electricity_demand],Table1[country],"Egypt",Table1[year],2003 + 1)</f>
        <v>97.55</v>
      </c>
      <c r="D7">
        <v>1227.3920000000001</v>
      </c>
      <c r="E7">
        <v>-0.7</v>
      </c>
      <c r="F7">
        <f>SUMIFS(Table1[gas_production],Table1[country],"Egypt",Table1[year],2004)</f>
        <v>317.625</v>
      </c>
      <c r="G7">
        <f>SUMIFS(Table1[gas_consumption],Table1[country],"Egypt",Table1[year],2004)</f>
        <v>305.11200000000002</v>
      </c>
      <c r="H7">
        <v>3996.4169999999999</v>
      </c>
      <c r="I7">
        <f>SUMIFS(Table1[oil_production],Table1[country],"Egypt",Table1[year],2004)</f>
        <v>405.197</v>
      </c>
      <c r="J7">
        <f>SUMIFS(Table1[oil_consumption],Table1[country],"Egypt",Table1[year],EnergyData!B30)</f>
        <v>328.39800000000002</v>
      </c>
      <c r="K7">
        <f>SUMIFS(Table1[renewables_electricity],Table1[country],"Egypt",Table1[year],EnergyData!B30)</f>
        <v>13.33</v>
      </c>
      <c r="L7">
        <v>13.567</v>
      </c>
      <c r="M7">
        <f>SUMIFS(Table1[fossil_electricity],Table1[country],"Egypt",Table1[year],EnergyData!B30)</f>
        <v>84.92</v>
      </c>
      <c r="N7" s="6">
        <f t="shared" si="0"/>
        <v>0.13567430025445293</v>
      </c>
      <c r="O7">
        <v>8581.7289999999994</v>
      </c>
      <c r="P7">
        <f>Table3[[#This Row],[Gas Production (TWH eq)]]-Table3[[#This Row],[Gas Consumption (TWH eq)]]</f>
        <v>12.512999999999977</v>
      </c>
      <c r="Q7" s="5">
        <f>SUMIFS(Table1[gdp_worldbank_usd],Table1[country],"Egypt",Table1[year],EnergyData!B30)</f>
        <v>78782467532</v>
      </c>
      <c r="R7">
        <v>75.775999999999996</v>
      </c>
    </row>
    <row r="8" spans="1:18">
      <c r="A8">
        <f t="shared" si="1"/>
        <v>2005</v>
      </c>
      <c r="B8">
        <f>SUMIFS(Table1[electricity_generation],Table1[country],"Egypt",Table1[year],2005)</f>
        <v>104.94</v>
      </c>
      <c r="C8">
        <f>SUMIFS(Table1[electricity_demand],Table1[country],"Egypt",Table1[year],2004 + 1)</f>
        <v>104.16</v>
      </c>
      <c r="D8">
        <v>1284.3240000000001</v>
      </c>
      <c r="E8">
        <v>-0.78</v>
      </c>
      <c r="F8">
        <f>SUMIFS(Table1[gas_production],Table1[country],"Egypt",Table1[year],2005)</f>
        <v>409.06200000000001</v>
      </c>
      <c r="G8">
        <f>SUMIFS(Table1[gas_consumption],Table1[country],"Egypt",Table1[year],2005)</f>
        <v>304.14999999999998</v>
      </c>
      <c r="H8">
        <v>5043.8639999999996</v>
      </c>
      <c r="I8">
        <f>SUMIFS(Table1[oil_production],Table1[country],"Egypt",Table1[year],2005)</f>
        <v>385.73599999999999</v>
      </c>
      <c r="J8">
        <f>SUMIFS(Table1[oil_consumption],Table1[country],"Egypt",Table1[year],EnergyData!B31)</f>
        <v>347.70400000000001</v>
      </c>
      <c r="K8">
        <f>SUMIFS(Table1[renewables_electricity],Table1[country],"Egypt",Table1[year],EnergyData!B31)</f>
        <v>13.15</v>
      </c>
      <c r="L8">
        <v>12.531000000000001</v>
      </c>
      <c r="M8">
        <f>SUMIFS(Table1[fossil_electricity],Table1[country],"Egypt",Table1[year],EnergyData!B31)</f>
        <v>91.79</v>
      </c>
      <c r="N8" s="6">
        <f t="shared" si="0"/>
        <v>0.12530970078139889</v>
      </c>
      <c r="O8">
        <v>8624.0190000000002</v>
      </c>
      <c r="P8">
        <f>Table3[[#This Row],[Gas Production (TWH eq)]]-Table3[[#This Row],[Gas Consumption (TWH eq)]]</f>
        <v>104.91200000000003</v>
      </c>
      <c r="Q8" s="5">
        <f>SUMIFS(Table1[gdp_worldbank_usd],Table1[country],"Egypt",Table1[year],EnergyData!B31)</f>
        <v>89660339660</v>
      </c>
      <c r="R8">
        <v>73.174999999999997</v>
      </c>
    </row>
    <row r="9" spans="1:18">
      <c r="A9">
        <f t="shared" si="1"/>
        <v>2006</v>
      </c>
      <c r="B9">
        <f>SUMIFS(Table1[electricity_generation],Table1[country],"Egypt",Table1[year],2006)</f>
        <v>111.66</v>
      </c>
      <c r="C9">
        <f>SUMIFS(Table1[electricity_demand],Table1[country],"Egypt",Table1[year],2005 + 1)</f>
        <v>111.31</v>
      </c>
      <c r="D9">
        <v>1345.943</v>
      </c>
      <c r="E9">
        <v>-0.35</v>
      </c>
      <c r="F9">
        <f>SUMIFS(Table1[gas_production],Table1[country],"Egypt",Table1[year],2006)</f>
        <v>526.48699999999997</v>
      </c>
      <c r="G9">
        <f>SUMIFS(Table1[gas_consumption],Table1[country],"Egypt",Table1[year],2006)</f>
        <v>351.31200000000001</v>
      </c>
      <c r="H9">
        <v>6366.2020000000002</v>
      </c>
      <c r="I9">
        <f>SUMIFS(Table1[oil_production],Table1[country],"Egypt",Table1[year],2006)</f>
        <v>385.67099999999999</v>
      </c>
      <c r="J9">
        <f>SUMIFS(Table1[oil_consumption],Table1[country],"Egypt",Table1[year],EnergyData!B32)</f>
        <v>337.33100000000002</v>
      </c>
      <c r="K9">
        <f>SUMIFS(Table1[renewables_electricity],Table1[country],"Egypt",Table1[year],EnergyData!B32)</f>
        <v>13.39</v>
      </c>
      <c r="L9">
        <v>11.992000000000001</v>
      </c>
      <c r="M9">
        <f>SUMIFS(Table1[fossil_electricity],Table1[country],"Egypt",Table1[year],EnergyData!B32)</f>
        <v>98.27</v>
      </c>
      <c r="N9" s="6">
        <f t="shared" si="0"/>
        <v>0.11991760702131471</v>
      </c>
      <c r="O9">
        <v>8907.3850000000002</v>
      </c>
      <c r="P9">
        <f>Table3[[#This Row],[Gas Production (TWH eq)]]-Table3[[#This Row],[Gas Consumption (TWH eq)]]</f>
        <v>175.17499999999995</v>
      </c>
      <c r="Q9" s="5">
        <f>SUMIFS(Table1[gdp_worldbank_usd],Table1[country],"Egypt",Table1[year],EnergyData!B32)</f>
        <v>107426000000</v>
      </c>
      <c r="R9">
        <v>74.387</v>
      </c>
    </row>
    <row r="10" spans="1:18">
      <c r="A10">
        <f t="shared" si="1"/>
        <v>2007</v>
      </c>
      <c r="B10">
        <f>SUMIFS(Table1[electricity_generation],Table1[country],"Egypt",Table1[year],2007)</f>
        <v>119.86</v>
      </c>
      <c r="C10">
        <f>SUMIFS(Table1[electricity_demand],Table1[country],"Egypt",Table1[year],2006 + 1)</f>
        <v>119.3</v>
      </c>
      <c r="D10">
        <v>1415.5830000000001</v>
      </c>
      <c r="E10">
        <v>-0.56000000000000005</v>
      </c>
      <c r="F10">
        <f>SUMIFS(Table1[gas_production],Table1[country],"Egypt",Table1[year],2007)</f>
        <v>536.01599999999996</v>
      </c>
      <c r="G10">
        <f>SUMIFS(Table1[gas_consumption],Table1[country],"Egypt",Table1[year],2007)</f>
        <v>369.21499999999997</v>
      </c>
      <c r="H10">
        <v>6360.2309999999998</v>
      </c>
      <c r="I10">
        <f>SUMIFS(Table1[oil_production],Table1[country],"Egypt",Table1[year],2007)</f>
        <v>393.21</v>
      </c>
      <c r="J10">
        <f>SUMIFS(Table1[oil_consumption],Table1[country],"Egypt",Table1[year],EnergyData!B33)</f>
        <v>364.28699999999998</v>
      </c>
      <c r="K10">
        <f>SUMIFS(Table1[renewables_electricity],Table1[country],"Egypt",Table1[year],EnergyData!B33)</f>
        <v>14.88</v>
      </c>
      <c r="L10">
        <v>12.414</v>
      </c>
      <c r="M10">
        <f>SUMIFS(Table1[fossil_electricity],Table1[country],"Egypt",Table1[year],EnergyData!B33)</f>
        <v>104.98</v>
      </c>
      <c r="N10" s="6">
        <f t="shared" si="0"/>
        <v>0.12414483564158185</v>
      </c>
      <c r="O10">
        <v>9309.6170000000002</v>
      </c>
      <c r="P10">
        <f>Table3[[#This Row],[Gas Production (TWH eq)]]-Table3[[#This Row],[Gas Consumption (TWH eq)]]</f>
        <v>166.80099999999999</v>
      </c>
      <c r="Q10" s="5">
        <f>SUMIFS(Table1[gdp_worldbank_usd],Table1[country],"Egypt",Table1[year],EnergyData!B33)</f>
        <v>130438000000</v>
      </c>
      <c r="R10">
        <v>74.427999999999997</v>
      </c>
    </row>
    <row r="11" spans="1:18">
      <c r="A11">
        <f t="shared" si="1"/>
        <v>2008</v>
      </c>
      <c r="B11">
        <f>SUMIFS(Table1[electricity_generation],Table1[country],"Egypt",Table1[year],2008)</f>
        <v>128.80000000000001</v>
      </c>
      <c r="C11">
        <f>SUMIFS(Table1[electricity_demand],Table1[country],"Egypt",Table1[year],2007 + 1)</f>
        <v>127.9</v>
      </c>
      <c r="D11">
        <v>1489.5509999999999</v>
      </c>
      <c r="E11">
        <v>-0.9</v>
      </c>
      <c r="F11">
        <f>SUMIFS(Table1[gas_production],Table1[country],"Egypt",Table1[year],2008)</f>
        <v>567.58600000000001</v>
      </c>
      <c r="G11">
        <f>SUMIFS(Table1[gas_consumption],Table1[country],"Egypt",Table1[year],2008)</f>
        <v>393.08499999999998</v>
      </c>
      <c r="H11">
        <v>6610.232</v>
      </c>
      <c r="I11">
        <f>SUMIFS(Table1[oil_production],Table1[country],"Egypt",Table1[year],2008)</f>
        <v>403.03</v>
      </c>
      <c r="J11">
        <f>SUMIFS(Table1[oil_consumption],Table1[country],"Egypt",Table1[year],EnergyData!B34)</f>
        <v>385.61700000000002</v>
      </c>
      <c r="K11">
        <f>SUMIFS(Table1[renewables_electricity],Table1[country],"Egypt",Table1[year],EnergyData!B34)</f>
        <v>16.03</v>
      </c>
      <c r="L11">
        <v>12.446</v>
      </c>
      <c r="M11">
        <f>SUMIFS(Table1[fossil_electricity],Table1[country],"Egypt",Table1[year],EnergyData!B34)</f>
        <v>112.77</v>
      </c>
      <c r="N11" s="6">
        <f t="shared" si="0"/>
        <v>0.12445652173913044</v>
      </c>
      <c r="O11">
        <v>9687.7690000000002</v>
      </c>
      <c r="P11">
        <f>Table3[[#This Row],[Gas Production (TWH eq)]]-Table3[[#This Row],[Gas Consumption (TWH eq)]]</f>
        <v>174.50100000000003</v>
      </c>
      <c r="Q11" s="5">
        <f>SUMIFS(Table1[gdp_worldbank_usd],Table1[country],"Egypt",Table1[year],EnergyData!B34)</f>
        <v>162818000000</v>
      </c>
      <c r="R11">
        <v>73.649000000000001</v>
      </c>
    </row>
    <row r="12" spans="1:18">
      <c r="A12">
        <f t="shared" si="1"/>
        <v>2009</v>
      </c>
      <c r="B12">
        <f>SUMIFS(Table1[electricity_generation],Table1[country],"Egypt",Table1[year],2009)</f>
        <v>134.27000000000001</v>
      </c>
      <c r="C12">
        <f>SUMIFS(Table1[electricity_demand],Table1[country],"Egypt",Table1[year],2008 + 1)</f>
        <v>133.33000000000001</v>
      </c>
      <c r="D12">
        <v>1523.7429999999999</v>
      </c>
      <c r="E12">
        <v>-0.94</v>
      </c>
      <c r="F12">
        <f>SUMIFS(Table1[gas_production],Table1[country],"Egypt",Table1[year],2009)</f>
        <v>603.39099999999996</v>
      </c>
      <c r="G12">
        <f>SUMIFS(Table1[gas_consumption],Table1[country],"Egypt",Table1[year],2009)</f>
        <v>409.447</v>
      </c>
      <c r="H12">
        <v>6895.7709999999997</v>
      </c>
      <c r="I12">
        <f>SUMIFS(Table1[oil_production],Table1[country],"Egypt",Table1[year],2009)</f>
        <v>410.07400000000001</v>
      </c>
      <c r="J12">
        <f>SUMIFS(Table1[oil_consumption],Table1[country],"Egypt",Table1[year],EnergyData!B35)</f>
        <v>403.661</v>
      </c>
      <c r="K12">
        <f>SUMIFS(Table1[renewables_electricity],Table1[country],"Egypt",Table1[year],EnergyData!B35)</f>
        <v>14.81</v>
      </c>
      <c r="L12">
        <v>11.03</v>
      </c>
      <c r="M12">
        <f>SUMIFS(Table1[fossil_electricity],Table1[country],"Egypt",Table1[year],EnergyData!B35)</f>
        <v>119.46</v>
      </c>
      <c r="N12" s="6">
        <f t="shared" si="0"/>
        <v>0.11030014150592092</v>
      </c>
      <c r="O12">
        <v>9847.4879999999994</v>
      </c>
      <c r="P12">
        <f>Table3[[#This Row],[Gas Production (TWH eq)]]-Table3[[#This Row],[Gas Consumption (TWH eq)]]</f>
        <v>193.94399999999996</v>
      </c>
      <c r="Q12" s="5">
        <f>SUMIFS(Table1[gdp_worldbank_usd],Table1[country],"Egypt",Table1[year],EnergyData!B35)</f>
        <v>189147000000</v>
      </c>
      <c r="R12">
        <v>73.537999999999997</v>
      </c>
    </row>
    <row r="13" spans="1:18">
      <c r="A13">
        <f t="shared" si="1"/>
        <v>2010</v>
      </c>
      <c r="B13">
        <f>SUMIFS(Table1[electricity_generation],Table1[country],"Egypt",Table1[year],2010)</f>
        <v>144.43</v>
      </c>
      <c r="C13">
        <f>SUMIFS(Table1[electricity_demand],Table1[country],"Egypt",Table1[year],2009 + 1)</f>
        <v>142.99</v>
      </c>
      <c r="D13">
        <v>1603.098</v>
      </c>
      <c r="E13">
        <v>-1.44</v>
      </c>
      <c r="F13">
        <f>SUMIFS(Table1[gas_production],Table1[country],"Egypt",Table1[year],2010)</f>
        <v>590.20500000000004</v>
      </c>
      <c r="G13">
        <f>SUMIFS(Table1[gas_consumption],Table1[country],"Egypt",Table1[year],2010)</f>
        <v>434.18400000000003</v>
      </c>
      <c r="H13">
        <v>6616.9390000000003</v>
      </c>
      <c r="I13">
        <f>SUMIFS(Table1[oil_production],Table1[country],"Egypt",Table1[year],2010)</f>
        <v>407.399</v>
      </c>
      <c r="J13">
        <f>SUMIFS(Table1[oil_consumption],Table1[country],"Egypt",Table1[year],EnergyData!B36)</f>
        <v>415.59399999999999</v>
      </c>
      <c r="K13">
        <f>SUMIFS(Table1[renewables_electricity],Table1[country],"Egypt",Table1[year],EnergyData!B36)</f>
        <v>14.39</v>
      </c>
      <c r="L13">
        <v>9.9629999999999992</v>
      </c>
      <c r="M13">
        <f>SUMIFS(Table1[fossil_electricity],Table1[country],"Egypt",Table1[year],EnergyData!B36)</f>
        <v>130.04</v>
      </c>
      <c r="N13" s="6">
        <f t="shared" si="0"/>
        <v>9.9633040227099637E-2</v>
      </c>
      <c r="O13">
        <v>10035.326999999999</v>
      </c>
      <c r="P13">
        <f>Table3[[#This Row],[Gas Production (TWH eq)]]-Table3[[#This Row],[Gas Consumption (TWH eq)]]</f>
        <v>156.02100000000002</v>
      </c>
      <c r="Q13" s="5">
        <f>SUMIFS(Table1[gdp_worldbank_usd],Table1[country],"Egypt",Table1[year],EnergyData!B36)</f>
        <v>218984000000</v>
      </c>
      <c r="R13">
        <v>76.230999999999995</v>
      </c>
    </row>
    <row r="14" spans="1:18">
      <c r="A14">
        <f t="shared" si="1"/>
        <v>2011</v>
      </c>
      <c r="B14">
        <f>SUMIFS(Table1[electricity_generation],Table1[country],"Egypt",Table1[year],2011)</f>
        <v>149.56</v>
      </c>
      <c r="C14">
        <f>SUMIFS(Table1[electricity_demand],Table1[country],"Egypt",Table1[year],2010 + 1)</f>
        <v>147.97999999999999</v>
      </c>
      <c r="D14">
        <v>1624.492</v>
      </c>
      <c r="E14">
        <v>-1.58</v>
      </c>
      <c r="F14">
        <f>SUMIFS(Table1[gas_production],Table1[country],"Egypt",Table1[year],2011)</f>
        <v>591.43299999999999</v>
      </c>
      <c r="G14">
        <f>SUMIFS(Table1[gas_consumption],Table1[country],"Egypt",Table1[year],2011)</f>
        <v>477.59300000000002</v>
      </c>
      <c r="H14">
        <v>6492.6220000000003</v>
      </c>
      <c r="I14">
        <f>SUMIFS(Table1[oil_production],Table1[country],"Egypt",Table1[year],2011)</f>
        <v>402.38600000000002</v>
      </c>
      <c r="J14">
        <f>SUMIFS(Table1[oil_consumption],Table1[country],"Egypt",Table1[year],EnergyData!B37)</f>
        <v>418.22199999999998</v>
      </c>
      <c r="K14">
        <f>SUMIFS(Table1[renewables_electricity],Table1[country],"Egypt",Table1[year],EnergyData!B37)</f>
        <v>14.72</v>
      </c>
      <c r="L14">
        <v>9.8420000000000005</v>
      </c>
      <c r="M14">
        <f>SUMIFS(Table1[fossil_electricity],Table1[country],"Egypt",Table1[year],EnergyData!B37)</f>
        <v>134.84</v>
      </c>
      <c r="N14" s="6">
        <f t="shared" si="0"/>
        <v>9.8422037978069005E-2</v>
      </c>
      <c r="O14">
        <v>10336.393</v>
      </c>
      <c r="P14">
        <f>Table3[[#This Row],[Gas Production (TWH eq)]]-Table3[[#This Row],[Gas Consumption (TWH eq)]]</f>
        <v>113.83999999999997</v>
      </c>
      <c r="Q14" s="5">
        <f>SUMIFS(Table1[gdp_worldbank_usd],Table1[country],"Egypt",Table1[year],EnergyData!B37)</f>
        <v>235990000000</v>
      </c>
      <c r="R14">
        <v>78.537000000000006</v>
      </c>
    </row>
    <row r="15" spans="1:18">
      <c r="A15">
        <f t="shared" si="1"/>
        <v>2012</v>
      </c>
      <c r="B15">
        <f>SUMIFS(Table1[electricity_generation],Table1[country],"Egypt",Table1[year],2012)</f>
        <v>162.84</v>
      </c>
      <c r="C15">
        <f>SUMIFS(Table1[electricity_demand],Table1[country],"Egypt",Table1[year],2011 + 1)</f>
        <v>162.44</v>
      </c>
      <c r="D15">
        <v>1743.6479999999999</v>
      </c>
      <c r="E15">
        <v>-0.4</v>
      </c>
      <c r="F15">
        <f>SUMIFS(Table1[gas_production],Table1[country],"Egypt",Table1[year],2012)</f>
        <v>585.98199999999997</v>
      </c>
      <c r="G15">
        <f>SUMIFS(Table1[gas_consumption],Table1[country],"Egypt",Table1[year],2012)</f>
        <v>506.37099999999998</v>
      </c>
      <c r="H15">
        <v>6289.991</v>
      </c>
      <c r="I15">
        <f>SUMIFS(Table1[oil_production],Table1[country],"Egypt",Table1[year],2012)</f>
        <v>403.86399999999998</v>
      </c>
      <c r="J15">
        <f>SUMIFS(Table1[oil_consumption],Table1[country],"Egypt",Table1[year],EnergyData!B38)</f>
        <v>428.22500000000002</v>
      </c>
      <c r="K15">
        <f>SUMIFS(Table1[renewables_electricity],Table1[country],"Egypt",Table1[year],EnergyData!B38)</f>
        <v>14.87</v>
      </c>
      <c r="L15">
        <v>9.1319999999999997</v>
      </c>
      <c r="M15">
        <f>SUMIFS(Table1[fossil_electricity],Table1[country],"Egypt",Table1[year],EnergyData!B38)</f>
        <v>147.97</v>
      </c>
      <c r="N15" s="6">
        <f t="shared" si="0"/>
        <v>9.1316629820682865E-2</v>
      </c>
      <c r="O15">
        <v>10518.4</v>
      </c>
      <c r="P15">
        <f>Table3[[#This Row],[Gas Production (TWH eq)]]-Table3[[#This Row],[Gas Consumption (TWH eq)]]</f>
        <v>79.61099999999999</v>
      </c>
      <c r="Q15" s="5">
        <f>SUMIFS(Table1[gdp_worldbank_usd],Table1[country],"Egypt",Table1[year],EnergyData!B38)</f>
        <v>279117000000</v>
      </c>
      <c r="R15">
        <v>77.72</v>
      </c>
    </row>
    <row r="16" spans="1:18">
      <c r="A16">
        <f t="shared" si="1"/>
        <v>2013</v>
      </c>
      <c r="B16">
        <f>SUMIFS(Table1[electricity_generation],Table1[country],"Egypt",Table1[year],2013)</f>
        <v>165.08</v>
      </c>
      <c r="C16">
        <f>SUMIFS(Table1[electricity_demand],Table1[country],"Egypt",Table1[year],2012 + 1)</f>
        <v>164.68</v>
      </c>
      <c r="D16">
        <v>1727.4090000000001</v>
      </c>
      <c r="E16">
        <v>-0.4</v>
      </c>
      <c r="F16">
        <f>SUMIFS(Table1[gas_production],Table1[country],"Egypt",Table1[year],2013)</f>
        <v>539.64800000000002</v>
      </c>
      <c r="G16">
        <f>SUMIFS(Table1[gas_consumption],Table1[country],"Egypt",Table1[year],2013)</f>
        <v>495.01400000000001</v>
      </c>
      <c r="H16">
        <v>5660.634</v>
      </c>
      <c r="I16">
        <f>SUMIFS(Table1[oil_production],Table1[country],"Egypt",Table1[year],2013)</f>
        <v>399.61900000000003</v>
      </c>
      <c r="J16">
        <f>SUMIFS(Table1[oil_consumption],Table1[country],"Egypt",Table1[year],EnergyData!B39)</f>
        <v>433.327</v>
      </c>
      <c r="K16">
        <f>SUMIFS(Table1[renewables_electricity],Table1[country],"Egypt",Table1[year],EnergyData!B39)</f>
        <v>14.85</v>
      </c>
      <c r="L16">
        <v>8.9960000000000004</v>
      </c>
      <c r="M16">
        <f>SUMIFS(Table1[fossil_electricity],Table1[country],"Egypt",Table1[year],EnergyData!B39)</f>
        <v>150.22999999999999</v>
      </c>
      <c r="N16" s="6">
        <f t="shared" si="0"/>
        <v>8.995638478313546E-2</v>
      </c>
      <c r="O16">
        <v>10209.089</v>
      </c>
      <c r="P16">
        <f>Table3[[#This Row],[Gas Production (TWH eq)]]-Table3[[#This Row],[Gas Consumption (TWH eq)]]</f>
        <v>44.634000000000015</v>
      </c>
      <c r="Q16" s="5">
        <f>SUMIFS(Table1[gdp_worldbank_usd],Table1[country],"Egypt",Table1[year],EnergyData!B39)</f>
        <v>288434000000</v>
      </c>
      <c r="R16">
        <v>74.611999999999995</v>
      </c>
    </row>
    <row r="17" spans="1:18">
      <c r="A17">
        <f t="shared" si="1"/>
        <v>2014</v>
      </c>
      <c r="B17">
        <f>SUMIFS(Table1[electricity_generation],Table1[country],"Egypt",Table1[year],2014)</f>
        <v>171.24</v>
      </c>
      <c r="C17">
        <f>SUMIFS(Table1[electricity_demand],Table1[country],"Egypt",Table1[year],2013 + 1)</f>
        <v>170.56</v>
      </c>
      <c r="D17">
        <v>1748.819</v>
      </c>
      <c r="E17">
        <v>-0.68</v>
      </c>
      <c r="F17">
        <f>SUMIFS(Table1[gas_production],Table1[country],"Egypt",Table1[year],2014)</f>
        <v>469.61099999999999</v>
      </c>
      <c r="G17">
        <f>SUMIFS(Table1[gas_consumption],Table1[country],"Egypt",Table1[year],2014)</f>
        <v>462.18799999999999</v>
      </c>
      <c r="H17">
        <v>4815.1030000000001</v>
      </c>
      <c r="I17">
        <f>SUMIFS(Table1[oil_production],Table1[country],"Egypt",Table1[year],2014)</f>
        <v>408.68099999999998</v>
      </c>
      <c r="J17">
        <f>SUMIFS(Table1[oil_consumption],Table1[country],"Egypt",Table1[year],EnergyData!B40)</f>
        <v>455.28800000000001</v>
      </c>
      <c r="K17">
        <f>SUMIFS(Table1[renewables_electricity],Table1[country],"Egypt",Table1[year],EnergyData!B40)</f>
        <v>14.76</v>
      </c>
      <c r="L17">
        <v>8.6189999999999998</v>
      </c>
      <c r="M17">
        <f>SUMIFS(Table1[fossil_electricity],Table1[country],"Egypt",Table1[year],EnergyData!B40)</f>
        <v>156.47999999999999</v>
      </c>
      <c r="N17" s="6">
        <f t="shared" si="0"/>
        <v>8.61948142957253E-2</v>
      </c>
      <c r="O17">
        <v>9863.4770000000008</v>
      </c>
      <c r="P17">
        <f>Table3[[#This Row],[Gas Production (TWH eq)]]-Table3[[#This Row],[Gas Consumption (TWH eq)]]</f>
        <v>7.4230000000000018</v>
      </c>
      <c r="Q17" s="5">
        <f>SUMIFS(Table1[gdp_worldbank_usd],Table1[country],"Egypt",Table1[year],EnergyData!B40)</f>
        <v>305595000000</v>
      </c>
      <c r="R17">
        <v>72.787000000000006</v>
      </c>
    </row>
    <row r="18" spans="1:18">
      <c r="A18">
        <f t="shared" si="1"/>
        <v>2015</v>
      </c>
      <c r="B18">
        <f>SUMIFS(Table1[electricity_generation],Table1[country],"Egypt",Table1[year],2015)</f>
        <v>181.83</v>
      </c>
      <c r="C18">
        <f>SUMIFS(Table1[electricity_demand],Table1[country],"Egypt",Table1[year],2014 + 1)</f>
        <v>181.14</v>
      </c>
      <c r="D18">
        <v>1818.723</v>
      </c>
      <c r="E18">
        <v>-0.69</v>
      </c>
      <c r="F18">
        <f>SUMIFS(Table1[gas_production],Table1[country],"Egypt",Table1[year],2015)</f>
        <v>425.90600000000001</v>
      </c>
      <c r="G18">
        <f>SUMIFS(Table1[gas_consumption],Table1[country],"Egypt",Table1[year],2015)</f>
        <v>460.18799999999999</v>
      </c>
      <c r="H18">
        <v>4276.2820000000002</v>
      </c>
      <c r="I18">
        <f>SUMIFS(Table1[oil_production],Table1[country],"Egypt",Table1[year],2015)</f>
        <v>412.06299999999999</v>
      </c>
      <c r="J18">
        <f>SUMIFS(Table1[oil_consumption],Table1[country],"Egypt",Table1[year],EnergyData!B41)</f>
        <v>464.53699999999998</v>
      </c>
      <c r="K18">
        <f>SUMIFS(Table1[renewables_electricity],Table1[country],"Egypt",Table1[year],EnergyData!B41)</f>
        <v>15.61</v>
      </c>
      <c r="L18">
        <v>8.5850000000000009</v>
      </c>
      <c r="M18">
        <f>SUMIFS(Table1[fossil_electricity],Table1[country],"Egypt",Table1[year],EnergyData!B41)</f>
        <v>166.22</v>
      </c>
      <c r="N18" s="6">
        <f t="shared" si="0"/>
        <v>8.5849419787713807E-2</v>
      </c>
      <c r="O18">
        <v>9800.5439999999999</v>
      </c>
      <c r="P18">
        <f>Table3[[#This Row],[Gas Production (TWH eq)]]-Table3[[#This Row],[Gas Consumption (TWH eq)]]</f>
        <v>-34.281999999999982</v>
      </c>
      <c r="Q18" s="5">
        <f>SUMIFS(Table1[gdp_worldbank_usd],Table1[country],"Egypt",Table1[year],EnergyData!B41)</f>
        <v>329367000000</v>
      </c>
      <c r="R18">
        <v>71.391000000000005</v>
      </c>
    </row>
    <row r="19" spans="1:18">
      <c r="A19">
        <f t="shared" si="1"/>
        <v>2016</v>
      </c>
      <c r="B19">
        <f>SUMIFS(Table1[electricity_generation],Table1[country],"Egypt",Table1[year],2016)</f>
        <v>188.19</v>
      </c>
      <c r="C19">
        <f>SUMIFS(Table1[electricity_demand],Table1[country],"Egypt",Table1[year],2015 + 1)</f>
        <v>187.92</v>
      </c>
      <c r="D19">
        <v>1848.7950000000001</v>
      </c>
      <c r="E19">
        <v>-0.27</v>
      </c>
      <c r="F19">
        <f>SUMIFS(Table1[gas_production],Table1[country],"Egypt",Table1[year],2016)</f>
        <v>402.517</v>
      </c>
      <c r="G19">
        <f>SUMIFS(Table1[gas_consumption],Table1[country],"Egypt",Table1[year],2016)</f>
        <v>493.541</v>
      </c>
      <c r="H19">
        <v>3960.049</v>
      </c>
      <c r="I19">
        <f>SUMIFS(Table1[oil_production],Table1[country],"Egypt",Table1[year],2016)</f>
        <v>393.50099999999998</v>
      </c>
      <c r="J19">
        <f>SUMIFS(Table1[oil_consumption],Table1[country],"Egypt",Table1[year],EnergyData!B42)</f>
        <v>480.178</v>
      </c>
      <c r="K19">
        <f>SUMIFS(Table1[renewables_electricity],Table1[country],"Egypt",Table1[year],EnergyData!B42)</f>
        <v>15.83</v>
      </c>
      <c r="L19">
        <v>8.4120000000000008</v>
      </c>
      <c r="M19">
        <f>SUMIFS(Table1[fossil_electricity],Table1[country],"Egypt",Table1[year],EnergyData!B42)</f>
        <v>172.36</v>
      </c>
      <c r="N19" s="6">
        <f t="shared" si="0"/>
        <v>8.4117115680960725E-2</v>
      </c>
      <c r="O19">
        <v>10135.914000000001</v>
      </c>
      <c r="P19">
        <f>Table3[[#This Row],[Gas Production (TWH eq)]]-Table3[[#This Row],[Gas Consumption (TWH eq)]]</f>
        <v>-91.024000000000001</v>
      </c>
      <c r="Q19" s="5">
        <f>SUMIFS(Table1[gdp_worldbank_usd],Table1[country],"Egypt",Table1[year],EnergyData!B42)</f>
        <v>332442000000</v>
      </c>
      <c r="R19">
        <v>73.58</v>
      </c>
    </row>
    <row r="20" spans="1:18">
      <c r="A20">
        <f t="shared" si="1"/>
        <v>2017</v>
      </c>
      <c r="B20">
        <f>SUMIFS(Table1[electricity_generation],Table1[country],"Egypt",Table1[year],2017)</f>
        <v>193.21</v>
      </c>
      <c r="C20">
        <f>SUMIFS(Table1[electricity_demand],Table1[country],"Egypt",Table1[year],2016 + 1)</f>
        <v>192.87</v>
      </c>
      <c r="D20">
        <v>1859.9549999999999</v>
      </c>
      <c r="E20">
        <v>-0.34</v>
      </c>
      <c r="F20">
        <f>SUMIFS(Table1[gas_production],Table1[country],"Egypt",Table1[year],2017)</f>
        <v>488.113</v>
      </c>
      <c r="G20">
        <f>SUMIFS(Table1[gas_consumption],Table1[country],"Egypt",Table1[year],2017)</f>
        <v>559.32799999999997</v>
      </c>
      <c r="H20">
        <v>4707.1480000000001</v>
      </c>
      <c r="I20">
        <f>SUMIFS(Table1[oil_production],Table1[country],"Egypt",Table1[year],2017)</f>
        <v>374.23</v>
      </c>
      <c r="J20">
        <f>SUMIFS(Table1[oil_consumption],Table1[country],"Egypt",Table1[year],EnergyData!B43)</f>
        <v>456.21600000000001</v>
      </c>
      <c r="K20">
        <f>SUMIFS(Table1[renewables_electricity],Table1[country],"Egypt",Table1[year],EnergyData!B43)</f>
        <v>15.5</v>
      </c>
      <c r="L20">
        <v>8.0220000000000002</v>
      </c>
      <c r="M20">
        <f>SUMIFS(Table1[fossil_electricity],Table1[country],"Egypt",Table1[year],EnergyData!B43)</f>
        <v>177.71</v>
      </c>
      <c r="N20" s="6">
        <f t="shared" si="0"/>
        <v>8.0223590911443501E-2</v>
      </c>
      <c r="O20">
        <v>10325.806</v>
      </c>
      <c r="P20">
        <f>Table3[[#This Row],[Gas Production (TWH eq)]]-Table3[[#This Row],[Gas Consumption (TWH eq)]]</f>
        <v>-71.214999999999975</v>
      </c>
      <c r="Q20" s="5">
        <f>SUMIFS(Table1[gdp_worldbank_usd],Table1[country],"Egypt",Table1[year],EnergyData!B43)</f>
        <v>248363000000</v>
      </c>
      <c r="R20">
        <v>78.635000000000005</v>
      </c>
    </row>
    <row r="21" spans="1:18">
      <c r="A21">
        <f t="shared" si="1"/>
        <v>2018</v>
      </c>
      <c r="B21">
        <f>SUMIFS(Table1[electricity_generation],Table1[country],"Egypt",Table1[year],2018)</f>
        <v>199.39</v>
      </c>
      <c r="C21">
        <f>SUMIFS(Table1[electricity_demand],Table1[country],"Egypt",Table1[year],2017 + 1)</f>
        <v>198.82</v>
      </c>
      <c r="D21">
        <v>1881.3030000000001</v>
      </c>
      <c r="E21">
        <v>-0.56999999999999995</v>
      </c>
      <c r="F21">
        <f>SUMIFS(Table1[gas_production],Table1[country],"Egypt",Table1[year],2018)</f>
        <v>585.59</v>
      </c>
      <c r="G21">
        <f>SUMIFS(Table1[gas_consumption],Table1[country],"Egypt",Table1[year],2018)</f>
        <v>595.95299999999997</v>
      </c>
      <c r="H21">
        <v>5541.0529999999999</v>
      </c>
      <c r="I21">
        <f>SUMIFS(Table1[oil_production],Table1[country],"Egypt",Table1[year],2018)</f>
        <v>381.976</v>
      </c>
      <c r="J21">
        <f>SUMIFS(Table1[oil_consumption],Table1[country],"Egypt",Table1[year],EnergyData!B44)</f>
        <v>406.44499999999999</v>
      </c>
      <c r="K21">
        <f>SUMIFS(Table1[renewables_electricity],Table1[country],"Egypt",Table1[year],EnergyData!B44)</f>
        <v>16.46</v>
      </c>
      <c r="L21">
        <v>8.2550000000000008</v>
      </c>
      <c r="M21">
        <f>SUMIFS(Table1[fossil_electricity],Table1[country],"Egypt",Table1[year],EnergyData!B44)</f>
        <v>182.93</v>
      </c>
      <c r="N21" s="6">
        <f t="shared" si="0"/>
        <v>8.2551782937960783E-2</v>
      </c>
      <c r="O21">
        <v>10137.438</v>
      </c>
      <c r="P21">
        <f>Table3[[#This Row],[Gas Production (TWH eq)]]-Table3[[#This Row],[Gas Consumption (TWH eq)]]</f>
        <v>-10.362999999999943</v>
      </c>
      <c r="Q21" s="5">
        <f>SUMIFS(Table1[gdp_worldbank_usd],Table1[country],"Egypt",Table1[year],EnergyData!B44)</f>
        <v>262589000000</v>
      </c>
      <c r="R21">
        <v>83.846000000000004</v>
      </c>
    </row>
    <row r="22" spans="1:18">
      <c r="A22">
        <f t="shared" si="1"/>
        <v>2019</v>
      </c>
      <c r="B22">
        <f>SUMIFS(Table1[electricity_generation],Table1[country],"Egypt",Table1[year],2019)</f>
        <v>200.57</v>
      </c>
      <c r="C22">
        <f>SUMIFS(Table1[electricity_demand],Table1[country],"Egypt",Table1[year],2018 + 1)</f>
        <v>199.78</v>
      </c>
      <c r="D22">
        <v>1857.5</v>
      </c>
      <c r="E22">
        <v>-0.79</v>
      </c>
      <c r="F22">
        <f>SUMIFS(Table1[gas_production],Table1[country],"Egypt",Table1[year],2019)</f>
        <v>649.38800000000003</v>
      </c>
      <c r="G22">
        <f>SUMIFS(Table1[gas_consumption],Table1[country],"Egypt",Table1[year],2019)</f>
        <v>590.38699999999994</v>
      </c>
      <c r="H22">
        <v>6037.8280000000004</v>
      </c>
      <c r="I22">
        <f>SUMIFS(Table1[oil_production],Table1[country],"Egypt",Table1[year],2019)</f>
        <v>369.97399999999999</v>
      </c>
      <c r="J22">
        <f>SUMIFS(Table1[oil_consumption],Table1[country],"Egypt",Table1[year],EnergyData!B45)</f>
        <v>383.61399999999998</v>
      </c>
      <c r="K22">
        <f>SUMIFS(Table1[renewables_electricity],Table1[country],"Egypt",Table1[year],EnergyData!B45)</f>
        <v>19.59</v>
      </c>
      <c r="L22">
        <v>9.7669999999999995</v>
      </c>
      <c r="M22">
        <f>SUMIFS(Table1[fossil_electricity],Table1[country],"Egypt",Table1[year],EnergyData!B45)</f>
        <v>180.98</v>
      </c>
      <c r="N22" s="6">
        <f t="shared" si="0"/>
        <v>9.7671635837862092E-2</v>
      </c>
      <c r="O22">
        <v>9749.4060000000009</v>
      </c>
      <c r="P22">
        <f>Table3[[#This Row],[Gas Production (TWH eq)]]-Table3[[#This Row],[Gas Consumption (TWH eq)]]</f>
        <v>59.00100000000009</v>
      </c>
      <c r="Q22" s="5">
        <f>SUMIFS(Table1[gdp_worldbank_usd],Table1[country],"Egypt",Table1[year],EnergyData!B45)</f>
        <v>318679000000</v>
      </c>
      <c r="R22">
        <v>85.665999999999997</v>
      </c>
    </row>
    <row r="23" spans="1:18">
      <c r="A23">
        <f t="shared" si="1"/>
        <v>2020</v>
      </c>
      <c r="B23">
        <f>SUMIFS(Table1[electricity_generation],Table1[country],"Egypt",Table1[year],2020)</f>
        <v>198.6</v>
      </c>
      <c r="C23">
        <f>SUMIFS(Table1[electricity_demand],Table1[country],"Egypt",Table1[year],2019 + 1)</f>
        <v>197.18</v>
      </c>
      <c r="D23">
        <v>1803.7760000000001</v>
      </c>
      <c r="E23">
        <v>-1.42</v>
      </c>
      <c r="F23">
        <f>SUMIFS(Table1[gas_production],Table1[country],"Egypt",Table1[year],2020)</f>
        <v>584.65200000000004</v>
      </c>
      <c r="G23">
        <f>SUMIFS(Table1[gas_consumption],Table1[country],"Egypt",Table1[year],2020)</f>
        <v>583.07899999999995</v>
      </c>
      <c r="H23">
        <v>5348.3149999999996</v>
      </c>
      <c r="I23">
        <f>SUMIFS(Table1[oil_production],Table1[country],"Egypt",Table1[year],2020)</f>
        <v>361.30200000000002</v>
      </c>
      <c r="J23">
        <f>SUMIFS(Table1[oil_consumption],Table1[country],"Egypt",Table1[year],EnergyData!B46)</f>
        <v>332.68</v>
      </c>
      <c r="K23">
        <f>SUMIFS(Table1[renewables_electricity],Table1[country],"Egypt",Table1[year],EnergyData!B46)</f>
        <v>23.76</v>
      </c>
      <c r="L23">
        <v>11.964</v>
      </c>
      <c r="M23">
        <f>SUMIFS(Table1[fossil_electricity],Table1[country],"Egypt",Table1[year],EnergyData!B46)</f>
        <v>174.84</v>
      </c>
      <c r="N23" s="6">
        <f t="shared" si="0"/>
        <v>0.11963746223564956</v>
      </c>
      <c r="O23">
        <v>9028.0720000000001</v>
      </c>
      <c r="P23">
        <f>Table3[[#This Row],[Gas Production (TWH eq)]]-Table3[[#This Row],[Gas Consumption (TWH eq)]]</f>
        <v>1.5730000000000928</v>
      </c>
      <c r="Q23" s="5">
        <f>SUMIFS(Table1[gdp_worldbank_usd],Table1[country],"Egypt",Table1[year],EnergyData!B46)</f>
        <v>383818000000</v>
      </c>
      <c r="R23">
        <v>84.018000000000001</v>
      </c>
    </row>
    <row r="24" spans="1:18">
      <c r="A24">
        <f t="shared" si="1"/>
        <v>2021</v>
      </c>
      <c r="B24">
        <f>SUMIFS(Table1[electricity_generation],Table1[country],"Egypt",Table1[year],2021)</f>
        <v>209.66</v>
      </c>
      <c r="C24">
        <f>SUMIFS(Table1[electricity_demand],Table1[country],"Egypt",Table1[year],2020 + 1)</f>
        <v>208.19</v>
      </c>
      <c r="D24">
        <v>1876.3119999999999</v>
      </c>
      <c r="E24">
        <v>-1.47</v>
      </c>
      <c r="F24">
        <f>SUMIFS(Table1[gas_production],Table1[country],"Egypt",Table1[year],2021)</f>
        <v>677.99400000000003</v>
      </c>
      <c r="G24">
        <f>SUMIFS(Table1[gas_consumption],Table1[country],"Egypt",Table1[year],2021)</f>
        <v>621.24800000000005</v>
      </c>
      <c r="H24">
        <v>6110.424</v>
      </c>
      <c r="I24">
        <f>SUMIFS(Table1[oil_production],Table1[country],"Egypt",Table1[year],2021)</f>
        <v>344.26400000000001</v>
      </c>
      <c r="J24">
        <f>SUMIFS(Table1[oil_consumption],Table1[country],"Egypt",Table1[year],EnergyData!B47)</f>
        <v>359.56700000000001</v>
      </c>
      <c r="K24">
        <f>SUMIFS(Table1[renewables_electricity],Table1[country],"Egypt",Table1[year],EnergyData!B47)</f>
        <v>25.36</v>
      </c>
      <c r="L24">
        <v>12.096</v>
      </c>
      <c r="M24">
        <f>SUMIFS(Table1[fossil_electricity],Table1[country],"Egypt",Table1[year],EnergyData!B47)</f>
        <v>184.3</v>
      </c>
      <c r="N24" s="6">
        <f t="shared" si="0"/>
        <v>0.12095774110464561</v>
      </c>
      <c r="O24">
        <v>9564.884</v>
      </c>
      <c r="P24">
        <f>Table3[[#This Row],[Gas Production (TWH eq)]]-Table3[[#This Row],[Gas Consumption (TWH eq)]]</f>
        <v>56.745999999999981</v>
      </c>
      <c r="Q24" s="5">
        <f>SUMIFS(Table1[gdp_worldbank_usd],Table1[country],"Egypt",Table1[year],EnergyData!B47)</f>
        <v>424672000000</v>
      </c>
      <c r="R24">
        <v>85.590999999999994</v>
      </c>
    </row>
    <row r="25" spans="1:18">
      <c r="A25">
        <f t="shared" si="1"/>
        <v>2022</v>
      </c>
      <c r="B25">
        <f>SUMIFS(Table1[electricity_generation],Table1[country],"Egypt",Table1[year],2022)</f>
        <v>216.72</v>
      </c>
      <c r="C25">
        <f>SUMIFS(Table1[electricity_demand],Table1[country],"Egypt",Table1[year],2021 + 1)</f>
        <v>215.15</v>
      </c>
      <c r="D25">
        <v>1910.4359999999999</v>
      </c>
      <c r="E25">
        <v>-1.57</v>
      </c>
      <c r="F25">
        <f>SUMIFS(Table1[gas_production],Table1[country],"Egypt",Table1[year],2022)</f>
        <v>644.88199999999995</v>
      </c>
      <c r="G25">
        <f>SUMIFS(Table1[gas_consumption],Table1[country],"Egypt",Table1[year],2022)</f>
        <v>605.90899999999999</v>
      </c>
      <c r="H25">
        <v>5726.2640000000001</v>
      </c>
      <c r="I25">
        <f>SUMIFS(Table1[oil_production],Table1[country],"Egypt",Table1[year],2022)</f>
        <v>349.39299999999997</v>
      </c>
      <c r="J25">
        <f>SUMIFS(Table1[oil_consumption],Table1[country],"Egypt",Table1[year],EnergyData!B48)</f>
        <v>425.22899999999998</v>
      </c>
      <c r="K25">
        <f>SUMIFS(Table1[renewables_electricity],Table1[country],"Egypt",Table1[year],EnergyData!B48)</f>
        <v>25.61</v>
      </c>
      <c r="L25">
        <v>11.817</v>
      </c>
      <c r="M25">
        <f>SUMIFS(Table1[fossil_electricity],Table1[country],"Egypt",Table1[year],EnergyData!B48)</f>
        <v>191.11</v>
      </c>
      <c r="N25" s="6">
        <f t="shared" si="0"/>
        <v>0.11817091177556292</v>
      </c>
      <c r="O25">
        <v>9857.5789999999997</v>
      </c>
      <c r="P25">
        <f>Table3[[#This Row],[Gas Production (TWH eq)]]-Table3[[#This Row],[Gas Consumption (TWH eq)]]</f>
        <v>38.972999999999956</v>
      </c>
      <c r="Q25" s="5">
        <f>SUMIFS(Table1[gdp_worldbank_usd],Table1[country],"Egypt",Table1[year],EnergyData!B48)</f>
        <v>476748000000</v>
      </c>
      <c r="R25">
        <v>84.472999999999999</v>
      </c>
    </row>
    <row r="26" spans="1:18">
      <c r="A26">
        <f t="shared" si="1"/>
        <v>2023</v>
      </c>
      <c r="B26">
        <f>SUMIFS(Table1[electricity_generation],Table1[country],"Egypt",Table1[year],2023)</f>
        <v>221.92</v>
      </c>
      <c r="C26">
        <f>SUMIFS(Table1[electricity_demand],Table1[country],"Egypt",Table1[year],2022 + 1)</f>
        <v>220.53</v>
      </c>
      <c r="D26">
        <v>1925.425</v>
      </c>
      <c r="E26">
        <v>-1.39</v>
      </c>
      <c r="F26">
        <f>SUMIFS(Table1[gas_production],Table1[country],"Egypt",Table1[year],2023)</f>
        <v>571.00400000000002</v>
      </c>
      <c r="G26">
        <f>SUMIFS(Table1[gas_consumption],Table1[country],"Egypt",Table1[year],2023)</f>
        <v>600.39</v>
      </c>
      <c r="H26">
        <v>4985.3770000000004</v>
      </c>
      <c r="I26">
        <f>SUMIFS(Table1[oil_production],Table1[country],"Egypt",Table1[year],2023)</f>
        <v>345.46</v>
      </c>
      <c r="J26">
        <f>SUMIFS(Table1[oil_consumption],Table1[country],"Egypt",Table1[year],EnergyData!B49)</f>
        <v>414.18</v>
      </c>
      <c r="K26">
        <f>SUMIFS(Table1[renewables_electricity],Table1[country],"Egypt",Table1[year],EnergyData!B49)</f>
        <v>25.97</v>
      </c>
      <c r="L26">
        <v>11.702</v>
      </c>
      <c r="M26">
        <f>SUMIFS(Table1[fossil_electricity],Table1[country],"Egypt",Table1[year],EnergyData!B49)</f>
        <v>195.95</v>
      </c>
      <c r="N26" s="6">
        <f t="shared" si="0"/>
        <v>0.11702415284787311</v>
      </c>
      <c r="O26">
        <v>9566.1540000000005</v>
      </c>
      <c r="P26">
        <f>Table3[[#This Row],[Gas Production (TWH eq)]]-Table3[[#This Row],[Gas Consumption (TWH eq)]]</f>
        <v>-29.385999999999967</v>
      </c>
      <c r="Q26" s="5">
        <f>SUMIFS(Table1[gdp_worldbank_usd],Table1[country],"Egypt",Table1[year],EnergyData!B49)</f>
        <v>395926000000</v>
      </c>
      <c r="R26">
        <v>80.825999999999993</v>
      </c>
    </row>
    <row r="30" spans="1:18" ht="15.75">
      <c r="B30" s="7" t="s">
        <v>80</v>
      </c>
      <c r="C30" t="s">
        <v>79</v>
      </c>
    </row>
    <row r="31" spans="1:18">
      <c r="B31" s="8" t="s">
        <v>81</v>
      </c>
      <c r="C31">
        <f>SUMIFS(Table1[electricity_generation],Table1[country],"Egypt",Table1[year],EnergyData!B49)</f>
        <v>221.92</v>
      </c>
    </row>
    <row r="32" spans="1:18">
      <c r="B32" s="8" t="s">
        <v>82</v>
      </c>
      <c r="C32">
        <f>SUMIFS(Table1[electricity_demand],Table1[country],"Egypt",Table1[year],EnergyData!B49)</f>
        <v>220.53</v>
      </c>
    </row>
    <row r="33" spans="2:3">
      <c r="B33" s="8" t="s">
        <v>83</v>
      </c>
      <c r="C33" s="6">
        <f>SUMIFS(Table1[renewables_share_elec],Table1[country],"Egypt",Table1[year],2023)/100</f>
        <v>0.11702</v>
      </c>
    </row>
    <row r="34" spans="2:3">
      <c r="B34" s="8" t="s">
        <v>84</v>
      </c>
      <c r="C34">
        <f>SUMIFS(Table1[net_elec_imports],Table1[country],"Egypt",Table1[year],2023)</f>
        <v>-1.39</v>
      </c>
    </row>
  </sheetData>
  <mergeCells count="1">
    <mergeCell ref="A1:L1"/>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F419-F3CE-444B-A71E-CDA73D77F788}">
  <dimension ref="A3:C8"/>
  <sheetViews>
    <sheetView workbookViewId="0">
      <selection activeCell="W16" sqref="W16"/>
    </sheetView>
  </sheetViews>
  <sheetFormatPr defaultRowHeight="15"/>
  <cols>
    <col min="1" max="1" width="13.42578125" bestFit="1" customWidth="1"/>
    <col min="2" max="2" width="34" bestFit="1" customWidth="1"/>
    <col min="3" max="3" width="32" bestFit="1" customWidth="1"/>
    <col min="4" max="6" width="6" bestFit="1" customWidth="1"/>
    <col min="7" max="8" width="7" bestFit="1" customWidth="1"/>
    <col min="9" max="10" width="6" bestFit="1" customWidth="1"/>
    <col min="11" max="25" width="7" bestFit="1" customWidth="1"/>
    <col min="26" max="26" width="11.28515625" bestFit="1" customWidth="1"/>
  </cols>
  <sheetData>
    <row r="3" spans="1:3">
      <c r="A3" s="2" t="s">
        <v>65</v>
      </c>
      <c r="B3" t="s">
        <v>126</v>
      </c>
      <c r="C3" t="s">
        <v>127</v>
      </c>
    </row>
    <row r="4" spans="1:3">
      <c r="A4" s="3">
        <v>2000</v>
      </c>
      <c r="B4" s="20">
        <v>73.319999999999993</v>
      </c>
      <c r="C4" s="17">
        <v>73.17</v>
      </c>
    </row>
    <row r="5" spans="1:3">
      <c r="A5" s="3">
        <v>2001</v>
      </c>
      <c r="B5" s="20">
        <v>80.709999999999994</v>
      </c>
      <c r="C5" s="17">
        <v>80.5</v>
      </c>
    </row>
    <row r="6" spans="1:3">
      <c r="A6" s="3">
        <v>2002</v>
      </c>
      <c r="B6" s="20">
        <v>86.23</v>
      </c>
      <c r="C6" s="17">
        <v>85.45</v>
      </c>
    </row>
    <row r="7" spans="1:3">
      <c r="A7" s="3">
        <v>2003</v>
      </c>
      <c r="B7" s="20">
        <v>92.19</v>
      </c>
      <c r="C7" s="17">
        <v>91.27</v>
      </c>
    </row>
    <row r="8" spans="1:3">
      <c r="A8" s="3" t="s">
        <v>66</v>
      </c>
      <c r="B8" s="20">
        <v>332.45</v>
      </c>
      <c r="C8" s="17">
        <v>330.39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A22A-AA20-44ED-BE73-719137BD4541}">
  <dimension ref="A3:C8"/>
  <sheetViews>
    <sheetView workbookViewId="0">
      <selection activeCell="B4" sqref="B4"/>
    </sheetView>
  </sheetViews>
  <sheetFormatPr defaultRowHeight="15"/>
  <cols>
    <col min="1" max="1" width="13.42578125" bestFit="1" customWidth="1"/>
    <col min="2" max="2" width="31" bestFit="1" customWidth="1"/>
    <col min="3" max="3" width="33.42578125" bestFit="1" customWidth="1"/>
  </cols>
  <sheetData>
    <row r="3" spans="1:3">
      <c r="A3" s="2" t="s">
        <v>65</v>
      </c>
      <c r="B3" t="s">
        <v>128</v>
      </c>
      <c r="C3" t="s">
        <v>122</v>
      </c>
    </row>
    <row r="4" spans="1:3">
      <c r="A4" s="3">
        <v>2000</v>
      </c>
      <c r="B4" s="20">
        <v>202.125</v>
      </c>
      <c r="C4" s="20">
        <v>192.5</v>
      </c>
    </row>
    <row r="5" spans="1:3">
      <c r="A5" s="3">
        <v>2001</v>
      </c>
      <c r="B5" s="20">
        <v>242.55</v>
      </c>
      <c r="C5" s="20">
        <v>235.81200000000001</v>
      </c>
    </row>
    <row r="6" spans="1:3">
      <c r="A6" s="3">
        <v>2002</v>
      </c>
      <c r="B6" s="20">
        <v>262.76299999999998</v>
      </c>
      <c r="C6" s="20">
        <v>255.06200000000001</v>
      </c>
    </row>
    <row r="7" spans="1:3">
      <c r="A7" s="3">
        <v>2003</v>
      </c>
      <c r="B7" s="20">
        <v>289.71300000000002</v>
      </c>
      <c r="C7" s="20">
        <v>285.86200000000002</v>
      </c>
    </row>
    <row r="8" spans="1:3">
      <c r="A8" s="3" t="s">
        <v>66</v>
      </c>
      <c r="B8" s="20">
        <v>997.15100000000007</v>
      </c>
      <c r="C8" s="20">
        <v>969.2360000000001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13E1-4F99-4667-ADF3-CA1D58B0E5C0}">
  <dimension ref="A3:C8"/>
  <sheetViews>
    <sheetView workbookViewId="0">
      <selection activeCell="B11" sqref="B11"/>
    </sheetView>
  </sheetViews>
  <sheetFormatPr defaultRowHeight="15"/>
  <cols>
    <col min="1" max="1" width="13.42578125" bestFit="1" customWidth="1"/>
    <col min="2" max="2" width="30.140625" bestFit="1" customWidth="1"/>
    <col min="3" max="3" width="32.5703125" bestFit="1" customWidth="1"/>
  </cols>
  <sheetData>
    <row r="3" spans="1:3">
      <c r="A3" s="2" t="s">
        <v>65</v>
      </c>
      <c r="B3" t="s">
        <v>129</v>
      </c>
      <c r="C3" t="s">
        <v>123</v>
      </c>
    </row>
    <row r="4" spans="1:3">
      <c r="A4" s="3">
        <v>2000</v>
      </c>
      <c r="B4" s="20">
        <v>452.60500000000002</v>
      </c>
      <c r="C4" s="20">
        <v>323.75900000000001</v>
      </c>
    </row>
    <row r="5" spans="1:3">
      <c r="A5" s="3">
        <v>2001</v>
      </c>
      <c r="B5" s="20">
        <v>437.28899999999999</v>
      </c>
      <c r="C5" s="20">
        <v>305.73399999999998</v>
      </c>
    </row>
    <row r="6" spans="1:3">
      <c r="A6" s="3">
        <v>2002</v>
      </c>
      <c r="B6" s="20">
        <v>433.108</v>
      </c>
      <c r="C6" s="20">
        <v>304.16800000000001</v>
      </c>
    </row>
    <row r="7" spans="1:3">
      <c r="A7" s="3">
        <v>2003</v>
      </c>
      <c r="B7" s="20">
        <v>431.15300000000002</v>
      </c>
      <c r="C7" s="20">
        <v>311.87799999999999</v>
      </c>
    </row>
    <row r="8" spans="1:3">
      <c r="A8" s="3" t="s">
        <v>66</v>
      </c>
      <c r="B8" s="20">
        <v>1754.155</v>
      </c>
      <c r="C8" s="20">
        <v>1245.539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8188-6244-4D6F-8333-F87D95D28859}">
  <dimension ref="A1:B21"/>
  <sheetViews>
    <sheetView workbookViewId="0">
      <selection activeCell="B9" sqref="B9"/>
    </sheetView>
  </sheetViews>
  <sheetFormatPr defaultRowHeight="15"/>
  <cols>
    <col min="1" max="1" width="19.7109375" bestFit="1" customWidth="1"/>
    <col min="2" max="2" width="29.140625" bestFit="1" customWidth="1"/>
  </cols>
  <sheetData>
    <row r="1" spans="1:2">
      <c r="A1" s="2" t="s">
        <v>1</v>
      </c>
      <c r="B1" t="s" vm="1">
        <v>136</v>
      </c>
    </row>
    <row r="2" spans="1:2">
      <c r="A2" s="2" t="s">
        <v>0</v>
      </c>
      <c r="B2" t="s" vm="2">
        <v>136</v>
      </c>
    </row>
    <row r="4" spans="1:2">
      <c r="A4" s="2" t="s">
        <v>65</v>
      </c>
      <c r="B4" t="s">
        <v>135</v>
      </c>
    </row>
    <row r="5" spans="1:2">
      <c r="A5" s="3" t="s">
        <v>26</v>
      </c>
      <c r="B5" s="20">
        <v>-2.44</v>
      </c>
    </row>
    <row r="6" spans="1:2">
      <c r="A6" s="3" t="s">
        <v>30</v>
      </c>
      <c r="B6" s="20">
        <v>-1.39</v>
      </c>
    </row>
    <row r="7" spans="1:2">
      <c r="A7" s="3" t="s">
        <v>33</v>
      </c>
      <c r="B7" s="20">
        <v>-1.78</v>
      </c>
    </row>
    <row r="8" spans="1:2">
      <c r="A8" s="3" t="s">
        <v>37</v>
      </c>
      <c r="B8" s="20">
        <v>-6.73</v>
      </c>
    </row>
    <row r="9" spans="1:2">
      <c r="A9" s="3" t="s">
        <v>39</v>
      </c>
      <c r="B9" s="20">
        <v>6.82</v>
      </c>
    </row>
    <row r="10" spans="1:2">
      <c r="A10" s="3" t="s">
        <v>41</v>
      </c>
      <c r="B10" s="20">
        <v>-6.93</v>
      </c>
    </row>
    <row r="11" spans="1:2">
      <c r="A11" s="3" t="s">
        <v>44</v>
      </c>
      <c r="B11" s="20">
        <v>7.0000000000000007E-2</v>
      </c>
    </row>
    <row r="12" spans="1:2">
      <c r="A12" s="3" t="s">
        <v>46</v>
      </c>
      <c r="B12" s="20">
        <v>0</v>
      </c>
    </row>
    <row r="13" spans="1:2">
      <c r="A13" s="3" t="s">
        <v>48</v>
      </c>
      <c r="B13" s="20">
        <v>1.85</v>
      </c>
    </row>
    <row r="14" spans="1:2">
      <c r="A14" s="3" t="s">
        <v>50</v>
      </c>
      <c r="B14" s="20">
        <v>-2.3199999999999998</v>
      </c>
    </row>
    <row r="15" spans="1:2">
      <c r="A15" s="3" t="s">
        <v>52</v>
      </c>
      <c r="B15" s="20">
        <v>-0.04</v>
      </c>
    </row>
    <row r="16" spans="1:2">
      <c r="A16" s="3" t="s">
        <v>54</v>
      </c>
      <c r="B16" s="20">
        <v>-0.55000000000000004</v>
      </c>
    </row>
    <row r="17" spans="1:2">
      <c r="A17" s="3" t="s">
        <v>56</v>
      </c>
      <c r="B17" s="20">
        <v>0.65</v>
      </c>
    </row>
    <row r="18" spans="1:2">
      <c r="A18" s="3" t="s">
        <v>58</v>
      </c>
      <c r="B18" s="20">
        <v>2.5</v>
      </c>
    </row>
    <row r="19" spans="1:2">
      <c r="A19" s="3" t="s">
        <v>60</v>
      </c>
      <c r="B19" s="20">
        <v>4.0199999999999996</v>
      </c>
    </row>
    <row r="20" spans="1:2">
      <c r="A20" s="3" t="s">
        <v>63</v>
      </c>
      <c r="B20" s="20">
        <v>-0.1</v>
      </c>
    </row>
    <row r="21" spans="1:2">
      <c r="A21" s="3" t="s">
        <v>66</v>
      </c>
      <c r="B21" s="20">
        <v>-6.37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0E66-DAA8-40D8-A2B9-DE9C232AA7CB}">
  <dimension ref="A1:O65"/>
  <sheetViews>
    <sheetView topLeftCell="A26" zoomScaleNormal="100" workbookViewId="0">
      <selection activeCell="E48" sqref="E48"/>
    </sheetView>
  </sheetViews>
  <sheetFormatPr defaultRowHeight="15"/>
  <cols>
    <col min="2" max="2" width="26.42578125" customWidth="1"/>
    <col min="3" max="4" width="41.7109375" customWidth="1"/>
    <col min="5" max="5" width="19.7109375" bestFit="1" customWidth="1"/>
    <col min="6" max="6" width="29.140625" bestFit="1" customWidth="1"/>
    <col min="13" max="13" width="13.42578125" bestFit="1" customWidth="1"/>
    <col min="14" max="14" width="42.5703125" bestFit="1" customWidth="1"/>
    <col min="15" max="15" width="41.5703125" bestFit="1" customWidth="1"/>
  </cols>
  <sheetData>
    <row r="1" spans="1:15">
      <c r="A1" s="9" t="s">
        <v>85</v>
      </c>
      <c r="B1" s="9" t="s">
        <v>86</v>
      </c>
      <c r="C1" s="9" t="s">
        <v>87</v>
      </c>
      <c r="D1" s="9" t="s">
        <v>88</v>
      </c>
      <c r="E1" s="9" t="s">
        <v>89</v>
      </c>
    </row>
    <row r="2" spans="1:15">
      <c r="A2">
        <v>2000</v>
      </c>
      <c r="B2">
        <f>SUMIFS(Table1[net_elec_imports],Table1[country],"Egypt",Table1[year],EnergyData!B26)</f>
        <v>-0.15</v>
      </c>
      <c r="C2" s="6">
        <f>SUMIFS(Table1[net_elec_imports_share_demand],Table1[country],"Egypt",Table1[year],EnergyData!B26)/100</f>
        <v>-2.0499999999999997E-3</v>
      </c>
      <c r="D2">
        <f>SUMIFS(Table1[gas_production],Table1[country],"Egypt",Table1[year],EnergyData!B26)-SUMIFS(Table1[gas_consumption],Table1[country],"Egypt",Table1[year],EnergyData!B26)</f>
        <v>9.625</v>
      </c>
      <c r="E2" s="10">
        <f>SUMIFS(Table1[oil_production],Table1[country],"Egypt",Table1[year],EnergyData!B26)-SUMIFS(Table1[oil_consumption],Table1[country],"Egypt",Table1[year],EnergyData!B26)</f>
        <v>128.846</v>
      </c>
    </row>
    <row r="3" spans="1:15">
      <c r="A3">
        <v>2001</v>
      </c>
      <c r="B3">
        <f>SUMIFS(Table1[net_elec_imports],Table1[country],"Egypt",Table1[year],EnergyData!B27)</f>
        <v>-0.21</v>
      </c>
      <c r="C3" s="6">
        <f>SUMIFS(Table1[net_elec_imports_share_demand],Table1[country],"Egypt",Table1[year],EnergyData!B27)/100</f>
        <v>-2.6099999999999999E-3</v>
      </c>
      <c r="D3">
        <f>SUMIFS(Table1[gas_production],Table1[country],"Egypt",Table1[year],EnergyData!B27)-SUMIFS(Table1[gas_consumption],Table1[country],"Egypt",Table1[year],EnergyData!B27)</f>
        <v>6.7379999999999995</v>
      </c>
      <c r="E3" s="10">
        <f>SUMIFS(Table1[oil_production],Table1[country],"Egypt",Table1[year],EnergyData!B27)-SUMIFS(Table1[oil_consumption],Table1[country],"Egypt",Table1[year],EnergyData!B27)</f>
        <v>131.55500000000001</v>
      </c>
    </row>
    <row r="4" spans="1:15">
      <c r="A4">
        <v>2002</v>
      </c>
      <c r="B4">
        <f>SUMIFS(Table1[net_elec_imports],Table1[country],"Egypt",Table1[year],EnergyData!B28)</f>
        <v>-0.78</v>
      </c>
      <c r="C4" s="6">
        <f>SUMIFS(Table1[net_elec_imports_share_demand],Table1[country],"Egypt",Table1[year],EnergyData!B28)/100</f>
        <v>-9.130000000000001E-3</v>
      </c>
      <c r="D4">
        <f>SUMIFS(Table1[gas_production],Table1[country],"Egypt",Table1[year],EnergyData!B28)-SUMIFS(Table1[gas_consumption],Table1[country],"Egypt",Table1[year],EnergyData!B28)</f>
        <v>7.700999999999965</v>
      </c>
      <c r="E4" s="10">
        <f>SUMIFS(Table1[oil_production],Table1[country],"Egypt",Table1[year],EnergyData!B28)-SUMIFS(Table1[oil_consumption],Table1[country],"Egypt",Table1[year],EnergyData!B28)</f>
        <v>128.94</v>
      </c>
    </row>
    <row r="5" spans="1:15">
      <c r="A5">
        <v>2003</v>
      </c>
      <c r="B5">
        <f>SUMIFS(Table1[net_elec_imports],Table1[country],"Egypt",Table1[year],EnergyData!B29)</f>
        <v>-0.92</v>
      </c>
      <c r="C5" s="6">
        <f>SUMIFS(Table1[net_elec_imports_share_demand],Table1[country],"Egypt",Table1[year],EnergyData!B29)/100</f>
        <v>-1.008E-2</v>
      </c>
      <c r="D5">
        <f>SUMIFS(Table1[gas_production],Table1[country],"Egypt",Table1[year],EnergyData!B29)-SUMIFS(Table1[gas_consumption],Table1[country],"Egypt",Table1[year],EnergyData!B29)</f>
        <v>3.8509999999999991</v>
      </c>
      <c r="E5" s="10">
        <f>SUMIFS(Table1[oil_production],Table1[country],"Egypt",Table1[year],EnergyData!B29)-SUMIFS(Table1[oil_consumption],Table1[country],"Egypt",Table1[year],EnergyData!B29)</f>
        <v>119.27500000000003</v>
      </c>
    </row>
    <row r="6" spans="1:15">
      <c r="A6">
        <v>2004</v>
      </c>
      <c r="B6">
        <f>SUMIFS(Table1[net_elec_imports],Table1[country],"Egypt",Table1[year],EnergyData!B30)</f>
        <v>-0.7</v>
      </c>
      <c r="C6" s="6">
        <f>SUMIFS(Table1[net_elec_imports_share_demand],Table1[country],"Egypt",Table1[year],EnergyData!B30)/100</f>
        <v>-7.1799999999999998E-3</v>
      </c>
      <c r="D6">
        <f>SUMIFS(Table1[gas_production],Table1[country],"Egypt",Table1[year],EnergyData!B30)-SUMIFS(Table1[gas_consumption],Table1[country],"Egypt",Table1[year],EnergyData!B30)</f>
        <v>12.512999999999977</v>
      </c>
      <c r="E6" s="10">
        <f>SUMIFS(Table1[oil_production],Table1[country],"Egypt",Table1[year],EnergyData!B30)-SUMIFS(Table1[oil_consumption],Table1[country],"Egypt",Table1[year],EnergyData!B30)</f>
        <v>76.798999999999978</v>
      </c>
    </row>
    <row r="7" spans="1:15">
      <c r="A7">
        <v>2005</v>
      </c>
      <c r="B7">
        <f>SUMIFS(Table1[net_elec_imports],Table1[country],"Egypt",Table1[year],EnergyData!B31)</f>
        <v>-0.78</v>
      </c>
      <c r="C7" s="6">
        <f>SUMIFS(Table1[net_elec_imports_share_demand],Table1[country],"Egypt",Table1[year],EnergyData!B31)/100</f>
        <v>-7.4900000000000001E-3</v>
      </c>
      <c r="D7">
        <f>SUMIFS(Table1[gas_production],Table1[country],"Egypt",Table1[year],EnergyData!B31)-SUMIFS(Table1[gas_consumption],Table1[country],"Egypt",Table1[year],EnergyData!B31)</f>
        <v>104.91200000000003</v>
      </c>
      <c r="E7" s="10">
        <f>SUMIFS(Table1[oil_production],Table1[country],"Egypt",Table1[year],EnergyData!B31)-SUMIFS(Table1[oil_consumption],Table1[country],"Egypt",Table1[year],EnergyData!B31)</f>
        <v>38.031999999999982</v>
      </c>
    </row>
    <row r="8" spans="1:15">
      <c r="A8">
        <v>2006</v>
      </c>
      <c r="B8">
        <f>SUMIFS(Table1[net_elec_imports],Table1[country],"Egypt",Table1[year],EnergyData!B32)</f>
        <v>-0.35</v>
      </c>
      <c r="C8" s="6">
        <f>SUMIFS(Table1[net_elec_imports_share_demand],Table1[country],"Egypt",Table1[year],EnergyData!B32)/100</f>
        <v>-3.14E-3</v>
      </c>
      <c r="D8">
        <f>SUMIFS(Table1[gas_production],Table1[country],"Egypt",Table1[year],EnergyData!B32)-SUMIFS(Table1[gas_consumption],Table1[country],"Egypt",Table1[year],EnergyData!B32)</f>
        <v>175.17499999999995</v>
      </c>
      <c r="E8" s="10">
        <f>SUMIFS(Table1[oil_production],Table1[country],"Egypt",Table1[year],EnergyData!B32)-SUMIFS(Table1[oil_consumption],Table1[country],"Egypt",Table1[year],EnergyData!B32)</f>
        <v>48.339999999999975</v>
      </c>
      <c r="M8" s="2" t="s">
        <v>65</v>
      </c>
      <c r="N8" t="s">
        <v>132</v>
      </c>
      <c r="O8" t="s">
        <v>125</v>
      </c>
    </row>
    <row r="9" spans="1:15">
      <c r="A9">
        <v>2007</v>
      </c>
      <c r="B9">
        <f>SUMIFS(Table1[net_elec_imports],Table1[country],"Egypt",Table1[year],EnergyData!B33)</f>
        <v>-0.56000000000000005</v>
      </c>
      <c r="C9" s="6">
        <f>SUMIFS(Table1[net_elec_imports_share_demand],Table1[country],"Egypt",Table1[year],EnergyData!B33)/100</f>
        <v>-4.6899999999999997E-3</v>
      </c>
      <c r="D9">
        <f>SUMIFS(Table1[gas_production],Table1[country],"Egypt",Table1[year],EnergyData!B33)-SUMIFS(Table1[gas_consumption],Table1[country],"Egypt",Table1[year],EnergyData!B33)</f>
        <v>166.80099999999999</v>
      </c>
      <c r="E9" s="10">
        <f>SUMIFS(Table1[oil_production],Table1[country],"Egypt",Table1[year],EnergyData!B33)-SUMIFS(Table1[oil_consumption],Table1[country],"Egypt",Table1[year],EnergyData!B33)</f>
        <v>28.923000000000002</v>
      </c>
      <c r="M9" s="3">
        <v>2000</v>
      </c>
      <c r="N9" s="20">
        <v>9.625</v>
      </c>
      <c r="O9" s="10">
        <v>128.846</v>
      </c>
    </row>
    <row r="10" spans="1:15">
      <c r="A10">
        <v>2008</v>
      </c>
      <c r="B10">
        <f>SUMIFS(Table1[net_elec_imports],Table1[country],"Egypt",Table1[year],EnergyData!B34)</f>
        <v>-0.9</v>
      </c>
      <c r="C10" s="6">
        <f>SUMIFS(Table1[net_elec_imports_share_demand],Table1[country],"Egypt",Table1[year],EnergyData!B34)/100</f>
        <v>-7.0399999999999994E-3</v>
      </c>
      <c r="D10">
        <f>SUMIFS(Table1[gas_production],Table1[country],"Egypt",Table1[year],EnergyData!B34)-SUMIFS(Table1[gas_consumption],Table1[country],"Egypt",Table1[year],EnergyData!B34)</f>
        <v>174.50100000000003</v>
      </c>
      <c r="E10" s="10">
        <f>SUMIFS(Table1[oil_production],Table1[country],"Egypt",Table1[year],EnergyData!B34)-SUMIFS(Table1[oil_consumption],Table1[country],"Egypt",Table1[year],EnergyData!B34)</f>
        <v>17.412999999999954</v>
      </c>
      <c r="M10" s="3">
        <v>2001</v>
      </c>
      <c r="N10" s="20">
        <v>6.7379999999999995</v>
      </c>
      <c r="O10" s="10">
        <v>131.55500000000001</v>
      </c>
    </row>
    <row r="11" spans="1:15">
      <c r="A11">
        <v>2009</v>
      </c>
      <c r="B11">
        <f>SUMIFS(Table1[net_elec_imports],Table1[country],"Egypt",Table1[year],EnergyData!B35)</f>
        <v>-0.94</v>
      </c>
      <c r="C11" s="6">
        <f>SUMIFS(Table1[net_elec_imports_share_demand],Table1[country],"Egypt",Table1[year],EnergyData!B35)/100</f>
        <v>-7.0499999999999998E-3</v>
      </c>
      <c r="D11">
        <f>SUMIFS(Table1[gas_production],Table1[country],"Egypt",Table1[year],EnergyData!B35)-SUMIFS(Table1[gas_consumption],Table1[country],"Egypt",Table1[year],EnergyData!B35)</f>
        <v>193.94399999999996</v>
      </c>
      <c r="E11" s="10">
        <f>SUMIFS(Table1[oil_production],Table1[country],"Egypt",Table1[year],EnergyData!B35)-SUMIFS(Table1[oil_consumption],Table1[country],"Egypt",Table1[year],EnergyData!B35)</f>
        <v>6.4130000000000109</v>
      </c>
      <c r="M11" s="3">
        <v>2002</v>
      </c>
      <c r="N11" s="20">
        <v>7.700999999999965</v>
      </c>
      <c r="O11" s="10">
        <v>128.94</v>
      </c>
    </row>
    <row r="12" spans="1:15">
      <c r="A12">
        <v>2010</v>
      </c>
      <c r="B12">
        <f>SUMIFS(Table1[net_elec_imports],Table1[country],"Egypt",Table1[year],EnergyData!B36)</f>
        <v>-1.44</v>
      </c>
      <c r="C12" s="6">
        <f>SUMIFS(Table1[net_elec_imports_share_demand],Table1[country],"Egypt",Table1[year],EnergyData!B36)/100</f>
        <v>-1.0069999999999999E-2</v>
      </c>
      <c r="D12">
        <f>SUMIFS(Table1[gas_production],Table1[country],"Egypt",Table1[year],EnergyData!B36)-SUMIFS(Table1[gas_consumption],Table1[country],"Egypt",Table1[year],EnergyData!B36)</f>
        <v>156.02100000000002</v>
      </c>
      <c r="E12" s="10">
        <f>SUMIFS(Table1[oil_production],Table1[country],"Egypt",Table1[year],EnergyData!B36)-SUMIFS(Table1[oil_consumption],Table1[country],"Egypt",Table1[year],EnergyData!B36)</f>
        <v>-8.1949999999999932</v>
      </c>
      <c r="M12" s="3">
        <v>2003</v>
      </c>
      <c r="N12" s="20">
        <v>3.8509999999999991</v>
      </c>
      <c r="O12" s="10">
        <v>119.27500000000003</v>
      </c>
    </row>
    <row r="13" spans="1:15">
      <c r="A13">
        <v>2011</v>
      </c>
      <c r="B13">
        <f>SUMIFS(Table1[net_elec_imports],Table1[country],"Egypt",Table1[year],EnergyData!B37)</f>
        <v>-1.58</v>
      </c>
      <c r="C13" s="6">
        <f>SUMIFS(Table1[net_elec_imports_share_demand],Table1[country],"Egypt",Table1[year],EnergyData!B37)/100</f>
        <v>-1.068E-2</v>
      </c>
      <c r="D13">
        <f>SUMIFS(Table1[gas_production],Table1[country],"Egypt",Table1[year],EnergyData!B37)-SUMIFS(Table1[gas_consumption],Table1[country],"Egypt",Table1[year],EnergyData!B37)</f>
        <v>113.83999999999997</v>
      </c>
      <c r="E13" s="10">
        <f>SUMIFS(Table1[oil_production],Table1[country],"Egypt",Table1[year],EnergyData!B37)-SUMIFS(Table1[oil_consumption],Table1[country],"Egypt",Table1[year],EnergyData!B37)</f>
        <v>-15.835999999999956</v>
      </c>
      <c r="M13" s="3">
        <v>2004</v>
      </c>
      <c r="N13" s="20">
        <v>12.512999999999977</v>
      </c>
      <c r="O13" s="10">
        <v>76.798999999999978</v>
      </c>
    </row>
    <row r="14" spans="1:15">
      <c r="A14">
        <v>2012</v>
      </c>
      <c r="B14">
        <f>SUMIFS(Table1[net_elec_imports],Table1[country],"Egypt",Table1[year],EnergyData!B38)</f>
        <v>-0.4</v>
      </c>
      <c r="C14" s="6">
        <f>SUMIFS(Table1[net_elec_imports_share_demand],Table1[country],"Egypt",Table1[year],EnergyData!B38)/100</f>
        <v>-2.4599999999999999E-3</v>
      </c>
      <c r="D14">
        <f>SUMIFS(Table1[gas_production],Table1[country],"Egypt",Table1[year],EnergyData!B38)-SUMIFS(Table1[gas_consumption],Table1[country],"Egypt",Table1[year],EnergyData!B38)</f>
        <v>79.61099999999999</v>
      </c>
      <c r="E14" s="10">
        <f>SUMIFS(Table1[oil_production],Table1[country],"Egypt",Table1[year],EnergyData!B38)-SUMIFS(Table1[oil_consumption],Table1[country],"Egypt",Table1[year],EnergyData!B38)</f>
        <v>-24.361000000000047</v>
      </c>
      <c r="M14" s="3">
        <v>2005</v>
      </c>
      <c r="N14" s="20">
        <v>104.91200000000003</v>
      </c>
      <c r="O14" s="10">
        <v>38.031999999999982</v>
      </c>
    </row>
    <row r="15" spans="1:15">
      <c r="A15">
        <v>2013</v>
      </c>
      <c r="B15">
        <f>SUMIFS(Table1[net_elec_imports],Table1[country],"Egypt",Table1[year],EnergyData!B39)</f>
        <v>-0.4</v>
      </c>
      <c r="C15" s="6">
        <f>SUMIFS(Table1[net_elec_imports_share_demand],Table1[country],"Egypt",Table1[year],EnergyData!B39)/100</f>
        <v>-2.4299999999999999E-3</v>
      </c>
      <c r="D15">
        <f>SUMIFS(Table1[gas_production],Table1[country],"Egypt",Table1[year],EnergyData!B39)-SUMIFS(Table1[gas_consumption],Table1[country],"Egypt",Table1[year],EnergyData!B39)</f>
        <v>44.634000000000015</v>
      </c>
      <c r="E15" s="10">
        <f>SUMIFS(Table1[oil_production],Table1[country],"Egypt",Table1[year],EnergyData!B39)-SUMIFS(Table1[oil_consumption],Table1[country],"Egypt",Table1[year],EnergyData!B39)</f>
        <v>-33.70799999999997</v>
      </c>
      <c r="M15" s="3">
        <v>2006</v>
      </c>
      <c r="N15" s="20">
        <v>175.17499999999995</v>
      </c>
      <c r="O15" s="10">
        <v>48.339999999999975</v>
      </c>
    </row>
    <row r="16" spans="1:15">
      <c r="A16">
        <v>2014</v>
      </c>
      <c r="B16">
        <f>SUMIFS(Table1[net_elec_imports],Table1[country],"Egypt",Table1[year],EnergyData!B40)</f>
        <v>-0.68</v>
      </c>
      <c r="C16" s="6">
        <f>SUMIFS(Table1[net_elec_imports_share_demand],Table1[country],"Egypt",Table1[year],EnergyData!B40)/100</f>
        <v>-3.9900000000000005E-3</v>
      </c>
      <c r="D16">
        <f>SUMIFS(Table1[gas_production],Table1[country],"Egypt",Table1[year],EnergyData!B40)-SUMIFS(Table1[gas_consumption],Table1[country],"Egypt",Table1[year],EnergyData!B40)</f>
        <v>7.4230000000000018</v>
      </c>
      <c r="E16" s="10">
        <f>SUMIFS(Table1[oil_production],Table1[country],"Egypt",Table1[year],EnergyData!B40)-SUMIFS(Table1[oil_consumption],Table1[country],"Egypt",Table1[year],EnergyData!B40)</f>
        <v>-46.607000000000028</v>
      </c>
      <c r="M16" s="3">
        <v>2007</v>
      </c>
      <c r="N16" s="20">
        <v>166.80099999999999</v>
      </c>
      <c r="O16" s="10">
        <v>28.923000000000002</v>
      </c>
    </row>
    <row r="17" spans="1:15">
      <c r="A17">
        <v>2015</v>
      </c>
      <c r="B17">
        <f>SUMIFS(Table1[net_elec_imports],Table1[country],"Egypt",Table1[year],EnergyData!B41)</f>
        <v>-0.69</v>
      </c>
      <c r="C17" s="6">
        <f>SUMIFS(Table1[net_elec_imports_share_demand],Table1[country],"Egypt",Table1[year],EnergyData!B41)/100</f>
        <v>-3.81E-3</v>
      </c>
      <c r="D17">
        <f>SUMIFS(Table1[gas_production],Table1[country],"Egypt",Table1[year],EnergyData!B41)-SUMIFS(Table1[gas_consumption],Table1[country],"Egypt",Table1[year],EnergyData!B41)</f>
        <v>-34.281999999999982</v>
      </c>
      <c r="E17" s="10">
        <f>SUMIFS(Table1[oil_production],Table1[country],"Egypt",Table1[year],EnergyData!B41)-SUMIFS(Table1[oil_consumption],Table1[country],"Egypt",Table1[year],EnergyData!B41)</f>
        <v>-52.47399999999999</v>
      </c>
      <c r="M17" s="3">
        <v>2008</v>
      </c>
      <c r="N17" s="20">
        <v>174.50100000000003</v>
      </c>
      <c r="O17" s="10">
        <v>17.412999999999954</v>
      </c>
    </row>
    <row r="18" spans="1:15">
      <c r="A18">
        <v>2016</v>
      </c>
      <c r="B18">
        <f>SUMIFS(Table1[net_elec_imports],Table1[country],"Egypt",Table1[year],EnergyData!B42)</f>
        <v>-0.27</v>
      </c>
      <c r="C18" s="6">
        <f>SUMIFS(Table1[net_elec_imports_share_demand],Table1[country],"Egypt",Table1[year],EnergyData!B42)/100</f>
        <v>-1.4399999999999999E-3</v>
      </c>
      <c r="D18">
        <f>SUMIFS(Table1[gas_production],Table1[country],"Egypt",Table1[year],EnergyData!B42)-SUMIFS(Table1[gas_consumption],Table1[country],"Egypt",Table1[year],EnergyData!B42)</f>
        <v>-91.024000000000001</v>
      </c>
      <c r="E18" s="10">
        <f>SUMIFS(Table1[oil_production],Table1[country],"Egypt",Table1[year],EnergyData!B42)-SUMIFS(Table1[oil_consumption],Table1[country],"Egypt",Table1[year],EnergyData!B42)</f>
        <v>-86.677000000000021</v>
      </c>
      <c r="M18" s="3">
        <v>2009</v>
      </c>
      <c r="N18" s="20">
        <v>193.94399999999996</v>
      </c>
      <c r="O18" s="10">
        <v>6.4130000000000109</v>
      </c>
    </row>
    <row r="19" spans="1:15">
      <c r="A19">
        <v>2017</v>
      </c>
      <c r="B19">
        <f>SUMIFS(Table1[net_elec_imports],Table1[country],"Egypt",Table1[year],EnergyData!B43)</f>
        <v>-0.34</v>
      </c>
      <c r="C19" s="6">
        <f>SUMIFS(Table1[net_elec_imports_share_demand],Table1[country],"Egypt",Table1[year],EnergyData!B43)/100</f>
        <v>-1.7599999999999998E-3</v>
      </c>
      <c r="D19">
        <f>SUMIFS(Table1[gas_production],Table1[country],"Egypt",Table1[year],EnergyData!B43)-SUMIFS(Table1[gas_consumption],Table1[country],"Egypt",Table1[year],EnergyData!B43)</f>
        <v>-71.214999999999975</v>
      </c>
      <c r="E19" s="10">
        <f>SUMIFS(Table1[oil_production],Table1[country],"Egypt",Table1[year],EnergyData!B43)-SUMIFS(Table1[oil_consumption],Table1[country],"Egypt",Table1[year],EnergyData!B43)</f>
        <v>-81.98599999999999</v>
      </c>
      <c r="M19" s="3">
        <v>2010</v>
      </c>
      <c r="N19" s="20">
        <v>156.02100000000002</v>
      </c>
      <c r="O19" s="10">
        <v>-8.1949999999999932</v>
      </c>
    </row>
    <row r="20" spans="1:15">
      <c r="A20">
        <v>2018</v>
      </c>
      <c r="B20">
        <f>SUMIFS(Table1[net_elec_imports],Table1[country],"Egypt",Table1[year],EnergyData!B44)</f>
        <v>-0.56999999999999995</v>
      </c>
      <c r="C20" s="6">
        <f>SUMIFS(Table1[net_elec_imports_share_demand],Table1[country],"Egypt",Table1[year],EnergyData!B44)/100</f>
        <v>-2.8699999999999997E-3</v>
      </c>
      <c r="D20">
        <f>SUMIFS(Table1[gas_production],Table1[country],"Egypt",Table1[year],EnergyData!B44)-SUMIFS(Table1[gas_consumption],Table1[country],"Egypt",Table1[year],EnergyData!B44)</f>
        <v>-10.362999999999943</v>
      </c>
      <c r="E20" s="10">
        <f>SUMIFS(Table1[oil_production],Table1[country],"Egypt",Table1[year],EnergyData!B44)-SUMIFS(Table1[oil_consumption],Table1[country],"Egypt",Table1[year],EnergyData!B44)</f>
        <v>-24.468999999999994</v>
      </c>
      <c r="M20" s="3">
        <v>2011</v>
      </c>
      <c r="N20" s="20">
        <v>113.83999999999997</v>
      </c>
      <c r="O20" s="10">
        <v>-15.835999999999956</v>
      </c>
    </row>
    <row r="21" spans="1:15">
      <c r="A21">
        <v>2019</v>
      </c>
      <c r="B21">
        <f>SUMIFS(Table1[net_elec_imports],Table1[country],"Egypt",Table1[year],EnergyData!B45)</f>
        <v>-0.79</v>
      </c>
      <c r="C21" s="6">
        <f>SUMIFS(Table1[net_elec_imports_share_demand],Table1[country],"Egypt",Table1[year],EnergyData!B45)/100</f>
        <v>-3.9500000000000004E-3</v>
      </c>
      <c r="D21">
        <f>SUMIFS(Table1[gas_production],Table1[country],"Egypt",Table1[year],EnergyData!B45)-SUMIFS(Table1[gas_consumption],Table1[country],"Egypt",Table1[year],EnergyData!B45)</f>
        <v>59.00100000000009</v>
      </c>
      <c r="E21" s="10">
        <f>SUMIFS(Table1[oil_production],Table1[country],"Egypt",Table1[year],EnergyData!B45)-SUMIFS(Table1[oil_consumption],Table1[country],"Egypt",Table1[year],EnergyData!B45)</f>
        <v>-13.639999999999986</v>
      </c>
      <c r="M21" s="3">
        <v>2012</v>
      </c>
      <c r="N21" s="20">
        <v>79.61099999999999</v>
      </c>
      <c r="O21" s="10">
        <v>-24.361000000000047</v>
      </c>
    </row>
    <row r="22" spans="1:15">
      <c r="A22">
        <v>2020</v>
      </c>
      <c r="B22">
        <f>SUMIFS(Table1[net_elec_imports],Table1[country],"Egypt",Table1[year],EnergyData!B46)</f>
        <v>-1.42</v>
      </c>
      <c r="C22" s="6">
        <f>SUMIFS(Table1[net_elec_imports_share_demand],Table1[country],"Egypt",Table1[year],EnergyData!B46)/100</f>
        <v>-7.1999999999999998E-3</v>
      </c>
      <c r="D22">
        <f>SUMIFS(Table1[gas_production],Table1[country],"Egypt",Table1[year],EnergyData!B46)-SUMIFS(Table1[gas_consumption],Table1[country],"Egypt",Table1[year],EnergyData!B46)</f>
        <v>1.5730000000000928</v>
      </c>
      <c r="E22" s="10">
        <f>SUMIFS(Table1[oil_production],Table1[country],"Egypt",Table1[year],EnergyData!B46)-SUMIFS(Table1[oil_consumption],Table1[country],"Egypt",Table1[year],EnergyData!B46)</f>
        <v>28.622000000000014</v>
      </c>
      <c r="M22" s="3">
        <v>2013</v>
      </c>
      <c r="N22" s="20">
        <v>44.634000000000015</v>
      </c>
      <c r="O22" s="10">
        <v>-33.70799999999997</v>
      </c>
    </row>
    <row r="23" spans="1:15">
      <c r="A23">
        <v>2021</v>
      </c>
      <c r="B23">
        <f>SUMIFS(Table1[net_elec_imports],Table1[country],"Egypt",Table1[year],EnergyData!B47)</f>
        <v>-1.47</v>
      </c>
      <c r="C23" s="6">
        <f>SUMIFS(Table1[net_elec_imports_share_demand],Table1[country],"Egypt",Table1[year],EnergyData!B47)/100</f>
        <v>-7.0599999999999994E-3</v>
      </c>
      <c r="D23">
        <f>SUMIFS(Table1[gas_production],Table1[country],"Egypt",Table1[year],EnergyData!B47)-SUMIFS(Table1[gas_consumption],Table1[country],"Egypt",Table1[year],EnergyData!B47)</f>
        <v>56.745999999999981</v>
      </c>
      <c r="E23" s="10">
        <f>SUMIFS(Table1[oil_production],Table1[country],"Egypt",Table1[year],EnergyData!B47)-SUMIFS(Table1[oil_consumption],Table1[country],"Egypt",Table1[year],EnergyData!B47)</f>
        <v>-15.302999999999997</v>
      </c>
      <c r="M23" s="3">
        <v>2014</v>
      </c>
      <c r="N23" s="20">
        <v>7.4230000000000018</v>
      </c>
      <c r="O23" s="10">
        <v>-46.607000000000028</v>
      </c>
    </row>
    <row r="24" spans="1:15">
      <c r="A24">
        <v>2022</v>
      </c>
      <c r="B24">
        <f>SUMIFS(Table1[net_elec_imports],Table1[country],"Egypt",Table1[year],EnergyData!B48)</f>
        <v>-1.57</v>
      </c>
      <c r="C24" s="6">
        <f>SUMIFS(Table1[net_elec_imports_share_demand],Table1[country],"Egypt",Table1[year],EnergyData!B48)/100</f>
        <v>-7.3000000000000001E-3</v>
      </c>
      <c r="D24">
        <f>SUMIFS(Table1[gas_production],Table1[country],"Egypt",Table1[year],EnergyData!B48)-SUMIFS(Table1[gas_consumption],Table1[country],"Egypt",Table1[year],EnergyData!B48)</f>
        <v>38.972999999999956</v>
      </c>
      <c r="E24" s="10">
        <f>SUMIFS(Table1[oil_production],Table1[country],"Egypt",Table1[year],EnergyData!B48)-SUMIFS(Table1[oil_consumption],Table1[country],"Egypt",Table1[year],EnergyData!B48)</f>
        <v>-75.836000000000013</v>
      </c>
      <c r="M24" s="3">
        <v>2015</v>
      </c>
      <c r="N24" s="20">
        <v>-34.281999999999982</v>
      </c>
      <c r="O24" s="10">
        <v>-52.47399999999999</v>
      </c>
    </row>
    <row r="25" spans="1:15">
      <c r="A25">
        <v>2023</v>
      </c>
      <c r="B25">
        <f>SUMIFS(Table1[net_elec_imports],Table1[country],"Egypt",Table1[year],EnergyData!B49)</f>
        <v>-1.39</v>
      </c>
      <c r="C25" s="6">
        <f>SUMIFS(Table1[net_elec_imports_share_demand],Table1[country],"Egypt",Table1[year],EnergyData!B49)/100</f>
        <v>-6.3E-3</v>
      </c>
      <c r="D25">
        <f>SUMIFS(Table1[gas_production],Table1[country],"Egypt",Table1[year],EnergyData!B49)-SUMIFS(Table1[gas_consumption],Table1[country],"Egypt",Table1[year],EnergyData!B49)</f>
        <v>-29.385999999999967</v>
      </c>
      <c r="E25" s="10">
        <f>SUMIFS(Table1[oil_production],Table1[country],"Egypt",Table1[year],EnergyData!B49)-SUMIFS(Table1[oil_consumption],Table1[country],"Egypt",Table1[year],EnergyData!B49)</f>
        <v>-68.720000000000027</v>
      </c>
      <c r="M25" s="3">
        <v>2016</v>
      </c>
      <c r="N25" s="20">
        <v>-91.024000000000001</v>
      </c>
      <c r="O25" s="10">
        <v>-86.677000000000021</v>
      </c>
    </row>
    <row r="26" spans="1:15">
      <c r="M26" s="3">
        <v>2017</v>
      </c>
      <c r="N26" s="20">
        <v>-71.214999999999975</v>
      </c>
      <c r="O26" s="10">
        <v>-81.98599999999999</v>
      </c>
    </row>
    <row r="27" spans="1:15">
      <c r="M27" s="3">
        <v>2018</v>
      </c>
      <c r="N27" s="20">
        <v>-10.362999999999943</v>
      </c>
      <c r="O27" s="10">
        <v>-24.468999999999994</v>
      </c>
    </row>
    <row r="28" spans="1:15">
      <c r="M28" s="3">
        <v>2019</v>
      </c>
      <c r="N28" s="20">
        <v>59.00100000000009</v>
      </c>
      <c r="O28" s="10">
        <v>-13.639999999999986</v>
      </c>
    </row>
    <row r="29" spans="1:15">
      <c r="B29" s="11" t="s">
        <v>90</v>
      </c>
      <c r="C29" s="11" t="s">
        <v>86</v>
      </c>
      <c r="M29" s="3">
        <v>2020</v>
      </c>
      <c r="N29" s="20">
        <v>1.5730000000000928</v>
      </c>
      <c r="O29" s="10">
        <v>28.622000000000014</v>
      </c>
    </row>
    <row r="30" spans="1:15">
      <c r="B30" t="s">
        <v>26</v>
      </c>
      <c r="C30">
        <f>SUMIFS(Table1[net_elec_imports],Table1[country],EnergyData!A25,Table1[year],EnergyData!B25)</f>
        <v>-2.44</v>
      </c>
      <c r="M30" s="3">
        <v>2021</v>
      </c>
      <c r="N30" s="20">
        <v>56.745999999999981</v>
      </c>
      <c r="O30" s="10">
        <v>-15.302999999999997</v>
      </c>
    </row>
    <row r="31" spans="1:15">
      <c r="B31" t="s">
        <v>30</v>
      </c>
      <c r="C31">
        <f>SUMIFS(Table1[net_elec_imports],Table1[country],EnergyData!A49,Table1[year],EnergyData!B49)</f>
        <v>-1.39</v>
      </c>
      <c r="M31" s="3">
        <v>2022</v>
      </c>
      <c r="N31" s="20">
        <v>38.972999999999956</v>
      </c>
      <c r="O31" s="10">
        <v>-75.836000000000013</v>
      </c>
    </row>
    <row r="32" spans="1:15">
      <c r="B32" t="s">
        <v>33</v>
      </c>
      <c r="C32">
        <f>SUMIFS(Table1[net_elec_imports],Table1[country],EnergyData!A73,Table1[year],EnergyData!B73)</f>
        <v>-1.78</v>
      </c>
      <c r="M32" s="3">
        <v>2023</v>
      </c>
      <c r="N32" s="20">
        <v>-29.385999999999967</v>
      </c>
      <c r="O32" s="10">
        <v>-68.720000000000027</v>
      </c>
    </row>
    <row r="33" spans="2:15">
      <c r="B33" t="s">
        <v>37</v>
      </c>
      <c r="C33">
        <f>SUMIFS(Table1[net_elec_imports],Table1[country],EnergyData!A97,Table1[year],EnergyData!B97)</f>
        <v>-6.73</v>
      </c>
      <c r="M33" s="3" t="s">
        <v>66</v>
      </c>
      <c r="N33" s="20">
        <v>1177.3130000000001</v>
      </c>
      <c r="O33" s="10">
        <v>205.34599999999978</v>
      </c>
    </row>
    <row r="34" spans="2:15">
      <c r="B34" t="s">
        <v>39</v>
      </c>
      <c r="C34">
        <f>SUMIFS(Table1[net_elec_imports],Table1[country],EnergyData!A121,Table1[year],EnergyData!B121)</f>
        <v>6.82</v>
      </c>
    </row>
    <row r="35" spans="2:15">
      <c r="B35" t="s">
        <v>41</v>
      </c>
      <c r="C35">
        <f>SUMIFS(Table1[net_elec_imports],Table1[country],EnergyData!A145,Table1[year],EnergyData!B145)</f>
        <v>-6.93</v>
      </c>
    </row>
    <row r="36" spans="2:15">
      <c r="B36" t="s">
        <v>44</v>
      </c>
      <c r="C36">
        <f>SUMIFS(Table1[net_elec_imports],Table1[country],EnergyData!A169,Table1[year],EnergyData!B169)</f>
        <v>7.0000000000000007E-2</v>
      </c>
    </row>
    <row r="37" spans="2:15">
      <c r="B37" t="s">
        <v>46</v>
      </c>
      <c r="C37">
        <f>SUMIFS(Table1[net_elec_imports],Table1[country],EnergyData!A193,Table1[year],EnergyData!B193)</f>
        <v>0</v>
      </c>
    </row>
    <row r="38" spans="2:15">
      <c r="B38" t="s">
        <v>48</v>
      </c>
      <c r="C38">
        <f>SUMIFS(Table1[net_elec_imports],Table1[country],EnergyData!A217,Table1[year],EnergyData!B217)</f>
        <v>1.85</v>
      </c>
    </row>
    <row r="39" spans="2:15">
      <c r="B39" t="s">
        <v>50</v>
      </c>
      <c r="C39">
        <f>SUMIFS(Table1[net_elec_imports],Table1[country],EnergyData!A241,Table1[year],EnergyData!B241)</f>
        <v>-2.3199999999999998</v>
      </c>
    </row>
    <row r="40" spans="2:15">
      <c r="B40" t="s">
        <v>52</v>
      </c>
      <c r="C40">
        <f>SUMIFS(Table1[net_elec_imports],Table1[country],EnergyData!A265,Table1[year],EnergyData!B265)</f>
        <v>-0.04</v>
      </c>
    </row>
    <row r="41" spans="2:15">
      <c r="B41" t="s">
        <v>54</v>
      </c>
      <c r="C41">
        <f>SUMIFS(Table1[net_elec_imports],Table1[country],EnergyData!A289,Table1[year],EnergyData!B289)</f>
        <v>-0.55000000000000004</v>
      </c>
    </row>
    <row r="42" spans="2:15">
      <c r="B42" t="s">
        <v>56</v>
      </c>
      <c r="C42">
        <f>SUMIFS(Table1[net_elec_imports],Table1[country],EnergyData!A313,Table1[year],EnergyData!B313)</f>
        <v>0.65</v>
      </c>
    </row>
    <row r="43" spans="2:15">
      <c r="B43" t="s">
        <v>58</v>
      </c>
      <c r="C43">
        <f>SUMIFS(Table1[net_elec_imports],Table1[country],EnergyData!A337,Table1[year],EnergyData!B337)</f>
        <v>2.5</v>
      </c>
    </row>
    <row r="44" spans="2:15">
      <c r="B44" t="s">
        <v>60</v>
      </c>
      <c r="C44">
        <f>SUMIFS(Table1[net_elec_imports],Table1[country],EnergyData!A361,Table1[year],EnergyData!B361)</f>
        <v>4.0199999999999996</v>
      </c>
    </row>
    <row r="45" spans="2:15">
      <c r="B45" t="s">
        <v>63</v>
      </c>
      <c r="C45">
        <f>SUMIFS(Table1[net_elec_imports],Table1[country],EnergyData!A385,Table1[year],EnergyData!B385)</f>
        <v>-0.1</v>
      </c>
    </row>
    <row r="48" spans="2:15">
      <c r="E48" s="2" t="s">
        <v>65</v>
      </c>
      <c r="F48" t="s">
        <v>135</v>
      </c>
    </row>
    <row r="49" spans="5:6">
      <c r="E49" s="3" t="s">
        <v>26</v>
      </c>
      <c r="F49" s="20">
        <v>-2.44</v>
      </c>
    </row>
    <row r="50" spans="5:6">
      <c r="E50" s="3" t="s">
        <v>30</v>
      </c>
      <c r="F50" s="20">
        <v>-1.39</v>
      </c>
    </row>
    <row r="51" spans="5:6">
      <c r="E51" s="3" t="s">
        <v>33</v>
      </c>
      <c r="F51" s="20">
        <v>-1.78</v>
      </c>
    </row>
    <row r="52" spans="5:6">
      <c r="E52" s="3" t="s">
        <v>37</v>
      </c>
      <c r="F52" s="20">
        <v>-6.73</v>
      </c>
    </row>
    <row r="53" spans="5:6">
      <c r="E53" s="3" t="s">
        <v>39</v>
      </c>
      <c r="F53" s="20">
        <v>6.82</v>
      </c>
    </row>
    <row r="54" spans="5:6">
      <c r="E54" s="3" t="s">
        <v>41</v>
      </c>
      <c r="F54" s="20">
        <v>-6.93</v>
      </c>
    </row>
    <row r="55" spans="5:6">
      <c r="E55" s="3" t="s">
        <v>44</v>
      </c>
      <c r="F55" s="20">
        <v>7.0000000000000007E-2</v>
      </c>
    </row>
    <row r="56" spans="5:6">
      <c r="E56" s="3" t="s">
        <v>46</v>
      </c>
      <c r="F56" s="20">
        <v>0</v>
      </c>
    </row>
    <row r="57" spans="5:6">
      <c r="E57" s="3" t="s">
        <v>48</v>
      </c>
      <c r="F57" s="20">
        <v>1.85</v>
      </c>
    </row>
    <row r="58" spans="5:6">
      <c r="E58" s="3" t="s">
        <v>50</v>
      </c>
      <c r="F58" s="20">
        <v>-2.3199999999999998</v>
      </c>
    </row>
    <row r="59" spans="5:6">
      <c r="E59" s="3" t="s">
        <v>52</v>
      </c>
      <c r="F59" s="20">
        <v>-0.04</v>
      </c>
    </row>
    <row r="60" spans="5:6">
      <c r="E60" s="3" t="s">
        <v>54</v>
      </c>
      <c r="F60" s="20">
        <v>-0.55000000000000004</v>
      </c>
    </row>
    <row r="61" spans="5:6">
      <c r="E61" s="3" t="s">
        <v>56</v>
      </c>
      <c r="F61" s="20">
        <v>0.65</v>
      </c>
    </row>
    <row r="62" spans="5:6">
      <c r="E62" s="3" t="s">
        <v>58</v>
      </c>
      <c r="F62" s="20">
        <v>2.5</v>
      </c>
    </row>
    <row r="63" spans="5:6">
      <c r="E63" s="3" t="s">
        <v>60</v>
      </c>
      <c r="F63" s="20">
        <v>4.0199999999999996</v>
      </c>
    </row>
    <row r="64" spans="5:6">
      <c r="E64" s="3" t="s">
        <v>63</v>
      </c>
      <c r="F64" s="20">
        <v>-0.1</v>
      </c>
    </row>
    <row r="65" spans="5:6">
      <c r="E65" s="3" t="s">
        <v>66</v>
      </c>
      <c r="F65" s="20">
        <v>-6.3699999999999992</v>
      </c>
    </row>
  </sheetData>
  <pageMargins left="0.7" right="0.7" top="0.75" bottom="0.75" header="0.3" footer="0.3"/>
  <drawing r:id="rId3"/>
  <tableParts count="2">
    <tablePart r:id="rId4"/>
    <tablePart r:id="rId5"/>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1D30-64DF-47A3-B677-490485884842}">
  <dimension ref="C4:E19"/>
  <sheetViews>
    <sheetView workbookViewId="0">
      <selection activeCell="C16" sqref="C16"/>
    </sheetView>
  </sheetViews>
  <sheetFormatPr defaultRowHeight="15"/>
  <cols>
    <col min="3" max="3" width="34.42578125" customWidth="1"/>
    <col min="4" max="4" width="31.85546875" customWidth="1"/>
    <col min="5" max="5" width="20.140625" customWidth="1"/>
  </cols>
  <sheetData>
    <row r="4" spans="3:5">
      <c r="C4" s="11" t="s">
        <v>91</v>
      </c>
      <c r="D4" s="11" t="s">
        <v>92</v>
      </c>
      <c r="E4" s="11" t="s">
        <v>93</v>
      </c>
    </row>
    <row r="5" spans="3:5">
      <c r="C5" t="s">
        <v>94</v>
      </c>
      <c r="D5" s="10">
        <v>0.68</v>
      </c>
      <c r="E5" t="s">
        <v>95</v>
      </c>
    </row>
    <row r="6" spans="3:5">
      <c r="C6" t="s">
        <v>96</v>
      </c>
      <c r="D6" s="10">
        <v>0.78</v>
      </c>
      <c r="E6" t="s">
        <v>95</v>
      </c>
    </row>
    <row r="7" spans="3:5">
      <c r="C7" t="s">
        <v>97</v>
      </c>
      <c r="D7" s="10">
        <v>0.95</v>
      </c>
      <c r="E7" t="s">
        <v>95</v>
      </c>
    </row>
    <row r="8" spans="3:5">
      <c r="C8" t="s">
        <v>98</v>
      </c>
      <c r="D8" s="10">
        <v>1.55</v>
      </c>
      <c r="E8" t="s">
        <v>95</v>
      </c>
    </row>
    <row r="9" spans="3:5">
      <c r="C9" t="s">
        <v>99</v>
      </c>
      <c r="D9" s="10">
        <v>1.95</v>
      </c>
      <c r="E9" t="s">
        <v>95</v>
      </c>
    </row>
    <row r="10" spans="3:5">
      <c r="C10" t="s">
        <v>100</v>
      </c>
      <c r="D10" s="10">
        <v>2.1</v>
      </c>
      <c r="E10" t="s">
        <v>95</v>
      </c>
    </row>
    <row r="11" spans="3:5">
      <c r="C11" t="s">
        <v>101</v>
      </c>
      <c r="D11" s="10">
        <v>2.58</v>
      </c>
      <c r="E11" t="s">
        <v>102</v>
      </c>
    </row>
    <row r="15" spans="3:5">
      <c r="C15" s="15" t="s">
        <v>117</v>
      </c>
    </row>
    <row r="16" spans="3:5">
      <c r="C16" s="13" t="s">
        <v>118</v>
      </c>
      <c r="D16" s="16">
        <v>350</v>
      </c>
    </row>
    <row r="17" spans="3:4">
      <c r="C17" s="13" t="s">
        <v>119</v>
      </c>
      <c r="D17" s="17">
        <v>400.5</v>
      </c>
    </row>
    <row r="18" spans="3:4">
      <c r="C18" s="13" t="s">
        <v>120</v>
      </c>
      <c r="D18" s="17">
        <v>11</v>
      </c>
    </row>
    <row r="19" spans="3:4">
      <c r="C19" s="13" t="s">
        <v>121</v>
      </c>
      <c r="D19" s="18">
        <f>D17+D18</f>
        <v>411.5</v>
      </c>
    </row>
  </sheetData>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47F3-3BE9-44D9-A0C3-CC2EBC94A282}">
  <dimension ref="D6:O46"/>
  <sheetViews>
    <sheetView topLeftCell="D12" workbookViewId="0">
      <selection activeCell="O28" sqref="O28"/>
    </sheetView>
  </sheetViews>
  <sheetFormatPr defaultRowHeight="15"/>
  <cols>
    <col min="5" max="5" width="39.85546875" customWidth="1"/>
    <col min="6" max="6" width="14.7109375" customWidth="1"/>
    <col min="7" max="7" width="54.5703125" customWidth="1"/>
    <col min="14" max="14" width="13.42578125" bestFit="1" customWidth="1"/>
    <col min="15" max="15" width="41" bestFit="1" customWidth="1"/>
  </cols>
  <sheetData>
    <row r="6" spans="4:7">
      <c r="D6" s="11" t="s">
        <v>85</v>
      </c>
      <c r="E6" s="11" t="s">
        <v>103</v>
      </c>
      <c r="F6" s="11" t="s">
        <v>104</v>
      </c>
      <c r="G6" s="11" t="s">
        <v>105</v>
      </c>
    </row>
    <row r="7" spans="4:7">
      <c r="D7">
        <v>2000</v>
      </c>
      <c r="E7" s="12">
        <v>0.05</v>
      </c>
      <c r="F7" s="30" t="s">
        <v>106</v>
      </c>
      <c r="G7" t="s">
        <v>107</v>
      </c>
    </row>
    <row r="8" spans="4:7">
      <c r="D8">
        <v>2001</v>
      </c>
      <c r="E8" s="12">
        <v>0.05</v>
      </c>
      <c r="F8" s="30" t="s">
        <v>106</v>
      </c>
      <c r="G8" t="s">
        <v>107</v>
      </c>
    </row>
    <row r="9" spans="4:7">
      <c r="D9">
        <v>2002</v>
      </c>
      <c r="E9" s="12">
        <v>0.05</v>
      </c>
      <c r="F9" s="30" t="s">
        <v>106</v>
      </c>
      <c r="G9" t="s">
        <v>107</v>
      </c>
    </row>
    <row r="10" spans="4:7">
      <c r="D10">
        <v>2003</v>
      </c>
      <c r="E10" s="12">
        <v>0.05</v>
      </c>
      <c r="F10" s="30" t="s">
        <v>106</v>
      </c>
      <c r="G10" t="s">
        <v>107</v>
      </c>
    </row>
    <row r="11" spans="4:7">
      <c r="D11">
        <v>2004</v>
      </c>
      <c r="E11" s="12">
        <v>0.05</v>
      </c>
      <c r="F11" s="30" t="s">
        <v>106</v>
      </c>
      <c r="G11" t="s">
        <v>107</v>
      </c>
    </row>
    <row r="12" spans="4:7">
      <c r="D12">
        <v>2005</v>
      </c>
      <c r="E12" s="12">
        <v>0.05</v>
      </c>
      <c r="F12" s="30" t="s">
        <v>106</v>
      </c>
      <c r="G12" t="s">
        <v>107</v>
      </c>
    </row>
    <row r="13" spans="4:7">
      <c r="D13">
        <v>2006</v>
      </c>
      <c r="E13" s="12">
        <v>0.05</v>
      </c>
      <c r="F13" s="30" t="s">
        <v>106</v>
      </c>
      <c r="G13" t="s">
        <v>107</v>
      </c>
    </row>
    <row r="14" spans="4:7">
      <c r="D14">
        <v>2007</v>
      </c>
      <c r="E14" s="12">
        <v>0.05</v>
      </c>
      <c r="F14" s="30" t="s">
        <v>106</v>
      </c>
      <c r="G14" t="s">
        <v>107</v>
      </c>
    </row>
    <row r="15" spans="4:7">
      <c r="D15">
        <v>2008</v>
      </c>
      <c r="E15" s="12">
        <v>0.05</v>
      </c>
      <c r="F15" s="30" t="s">
        <v>106</v>
      </c>
      <c r="G15" t="s">
        <v>107</v>
      </c>
    </row>
    <row r="16" spans="4:7">
      <c r="D16">
        <v>2009</v>
      </c>
      <c r="E16" s="12">
        <v>0.05</v>
      </c>
      <c r="F16" s="30" t="s">
        <v>106</v>
      </c>
      <c r="G16" t="s">
        <v>107</v>
      </c>
    </row>
    <row r="17" spans="4:15">
      <c r="D17">
        <v>2010</v>
      </c>
      <c r="E17" s="12">
        <v>0.05</v>
      </c>
      <c r="F17" s="30" t="s">
        <v>106</v>
      </c>
      <c r="G17" t="s">
        <v>107</v>
      </c>
    </row>
    <row r="18" spans="4:15">
      <c r="D18">
        <v>2011</v>
      </c>
      <c r="E18" s="12">
        <v>0.05</v>
      </c>
      <c r="F18" s="30" t="s">
        <v>106</v>
      </c>
      <c r="G18" t="s">
        <v>107</v>
      </c>
    </row>
    <row r="19" spans="4:15">
      <c r="D19">
        <v>2012</v>
      </c>
      <c r="E19" s="12">
        <v>0.05</v>
      </c>
      <c r="F19" s="30" t="s">
        <v>106</v>
      </c>
      <c r="G19" t="s">
        <v>107</v>
      </c>
    </row>
    <row r="20" spans="4:15">
      <c r="D20">
        <v>2013</v>
      </c>
      <c r="E20" s="12">
        <v>0.05</v>
      </c>
      <c r="F20" s="30" t="s">
        <v>106</v>
      </c>
      <c r="G20" t="s">
        <v>107</v>
      </c>
    </row>
    <row r="21" spans="4:15">
      <c r="D21">
        <v>2014</v>
      </c>
      <c r="E21" s="12">
        <v>7.4999999999999997E-2</v>
      </c>
      <c r="F21" s="30" t="s">
        <v>106</v>
      </c>
      <c r="G21" t="s">
        <v>108</v>
      </c>
      <c r="N21" s="2" t="s">
        <v>65</v>
      </c>
      <c r="O21" t="s">
        <v>133</v>
      </c>
    </row>
    <row r="22" spans="4:15">
      <c r="D22" s="14">
        <v>2015</v>
      </c>
      <c r="E22">
        <v>7.4999999999999997E-2</v>
      </c>
      <c r="F22" s="31" t="s">
        <v>109</v>
      </c>
      <c r="G22" s="13" t="s">
        <v>110</v>
      </c>
      <c r="N22" s="3">
        <v>2000</v>
      </c>
      <c r="O22" s="20">
        <v>0.05</v>
      </c>
    </row>
    <row r="23" spans="4:15">
      <c r="D23" s="14">
        <v>2016</v>
      </c>
      <c r="E23">
        <v>0.1</v>
      </c>
      <c r="F23" s="31" t="s">
        <v>109</v>
      </c>
      <c r="G23" s="13" t="s">
        <v>110</v>
      </c>
      <c r="N23" s="3">
        <v>2001</v>
      </c>
      <c r="O23" s="20">
        <v>0.05</v>
      </c>
    </row>
    <row r="24" spans="4:15">
      <c r="D24" s="14">
        <v>2017</v>
      </c>
      <c r="E24" s="12">
        <v>0.13</v>
      </c>
      <c r="F24" s="31" t="s">
        <v>109</v>
      </c>
      <c r="G24" s="13" t="s">
        <v>110</v>
      </c>
      <c r="N24" s="3">
        <v>2002</v>
      </c>
      <c r="O24" s="20">
        <v>0.05</v>
      </c>
    </row>
    <row r="25" spans="4:15">
      <c r="D25">
        <v>2018</v>
      </c>
      <c r="E25" s="12">
        <v>0.22</v>
      </c>
      <c r="F25" s="30" t="s">
        <v>106</v>
      </c>
      <c r="G25" t="s">
        <v>111</v>
      </c>
      <c r="N25" s="3">
        <v>2003</v>
      </c>
      <c r="O25" s="20">
        <v>0.05</v>
      </c>
    </row>
    <row r="26" spans="4:15">
      <c r="D26">
        <v>2019</v>
      </c>
      <c r="E26" s="12">
        <v>0.3</v>
      </c>
      <c r="F26" s="30" t="s">
        <v>106</v>
      </c>
      <c r="G26" t="s">
        <v>112</v>
      </c>
      <c r="N26" s="3">
        <v>2004</v>
      </c>
      <c r="O26" s="20">
        <v>0.05</v>
      </c>
    </row>
    <row r="27" spans="4:15">
      <c r="D27">
        <v>2020</v>
      </c>
      <c r="E27" s="12">
        <v>0.38</v>
      </c>
      <c r="F27" s="30" t="s">
        <v>106</v>
      </c>
      <c r="G27" t="s">
        <v>113</v>
      </c>
      <c r="N27" s="3">
        <v>2005</v>
      </c>
      <c r="O27" s="20">
        <v>0.05</v>
      </c>
    </row>
    <row r="28" spans="4:15">
      <c r="D28">
        <v>2021</v>
      </c>
      <c r="E28" s="12">
        <v>0.48</v>
      </c>
      <c r="F28" s="30" t="s">
        <v>106</v>
      </c>
      <c r="G28" t="s">
        <v>114</v>
      </c>
      <c r="N28" s="3">
        <v>2006</v>
      </c>
      <c r="O28" s="20">
        <v>0.05</v>
      </c>
    </row>
    <row r="29" spans="4:15">
      <c r="D29">
        <v>2022</v>
      </c>
      <c r="E29" s="12">
        <v>0.57999999999999996</v>
      </c>
      <c r="F29" s="30" t="s">
        <v>106</v>
      </c>
      <c r="G29" t="s">
        <v>115</v>
      </c>
      <c r="N29" s="3">
        <v>2007</v>
      </c>
      <c r="O29" s="20">
        <v>0.05</v>
      </c>
    </row>
    <row r="30" spans="4:15">
      <c r="D30">
        <v>2023</v>
      </c>
      <c r="E30" s="12">
        <v>0.68</v>
      </c>
      <c r="F30" s="30" t="s">
        <v>106</v>
      </c>
      <c r="G30" t="s">
        <v>116</v>
      </c>
      <c r="N30" s="3">
        <v>2008</v>
      </c>
      <c r="O30" s="20">
        <v>0.05</v>
      </c>
    </row>
    <row r="31" spans="4:15">
      <c r="N31" s="3">
        <v>2009</v>
      </c>
      <c r="O31" s="20">
        <v>0.05</v>
      </c>
    </row>
    <row r="32" spans="4:15">
      <c r="N32" s="3">
        <v>2010</v>
      </c>
      <c r="O32" s="20">
        <v>0.05</v>
      </c>
    </row>
    <row r="33" spans="14:15">
      <c r="N33" s="3">
        <v>2011</v>
      </c>
      <c r="O33" s="20">
        <v>0.05</v>
      </c>
    </row>
    <row r="34" spans="14:15">
      <c r="N34" s="3">
        <v>2012</v>
      </c>
      <c r="O34" s="20">
        <v>0.05</v>
      </c>
    </row>
    <row r="35" spans="14:15">
      <c r="N35" s="3">
        <v>2013</v>
      </c>
      <c r="O35" s="20">
        <v>0.05</v>
      </c>
    </row>
    <row r="36" spans="14:15">
      <c r="N36" s="3">
        <v>2014</v>
      </c>
      <c r="O36" s="20">
        <v>7.4999999999999997E-2</v>
      </c>
    </row>
    <row r="37" spans="14:15">
      <c r="N37" s="3">
        <v>2015</v>
      </c>
      <c r="O37" s="20">
        <v>7.4999999999999997E-2</v>
      </c>
    </row>
    <row r="38" spans="14:15">
      <c r="N38" s="3">
        <v>2016</v>
      </c>
      <c r="O38" s="20">
        <v>0.1</v>
      </c>
    </row>
    <row r="39" spans="14:15">
      <c r="N39" s="3">
        <v>2017</v>
      </c>
      <c r="O39" s="20">
        <v>0.13</v>
      </c>
    </row>
    <row r="40" spans="14:15">
      <c r="N40" s="3">
        <v>2018</v>
      </c>
      <c r="O40" s="20">
        <v>0.22</v>
      </c>
    </row>
    <row r="41" spans="14:15">
      <c r="N41" s="3">
        <v>2019</v>
      </c>
      <c r="O41" s="20">
        <v>0.3</v>
      </c>
    </row>
    <row r="42" spans="14:15">
      <c r="N42" s="3">
        <v>2020</v>
      </c>
      <c r="O42" s="20">
        <v>0.38</v>
      </c>
    </row>
    <row r="43" spans="14:15">
      <c r="N43" s="3">
        <v>2021</v>
      </c>
      <c r="O43" s="20">
        <v>0.48</v>
      </c>
    </row>
    <row r="44" spans="14:15">
      <c r="N44" s="3">
        <v>2022</v>
      </c>
      <c r="O44" s="20">
        <v>0.57999999999999996</v>
      </c>
    </row>
    <row r="45" spans="14:15">
      <c r="N45" s="3">
        <v>2023</v>
      </c>
      <c r="O45" s="20">
        <v>0.68</v>
      </c>
    </row>
    <row r="46" spans="14:15">
      <c r="N46" s="3" t="s">
        <v>66</v>
      </c>
      <c r="O46" s="20">
        <v>3.72</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B4C9D-B152-495C-95F4-3E61CD1BA194}">
  <dimension ref="A1"/>
  <sheetViews>
    <sheetView showGridLines="0" tabSelected="1" topLeftCell="A6" zoomScale="40" zoomScaleNormal="40" workbookViewId="0">
      <selection activeCell="AX88" sqref="AX8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Sheet10</vt:lpstr>
      <vt:lpstr>Sheet11</vt:lpstr>
      <vt:lpstr>EnergyData</vt:lpstr>
      <vt:lpstr>Sheet5</vt:lpstr>
      <vt:lpstr>Sheet6</vt:lpstr>
      <vt:lpstr>Sheet7</vt:lpstr>
      <vt:lpstr>Sheet9</vt:lpstr>
      <vt:lpstr>Egypt_KPI</vt:lpstr>
      <vt:lpstr>ELC Prod. , Demand</vt:lpstr>
      <vt:lpstr>Gas Prod. , Con.</vt:lpstr>
      <vt:lpstr>Oil Prod. , Con.</vt:lpstr>
      <vt:lpstr>Sheet12</vt:lpstr>
      <vt:lpstr>Trade_Analysis</vt:lpstr>
      <vt:lpstr>Electricity_Prices</vt:lpstr>
      <vt:lpstr>Electricity Price History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bassiony</dc:creator>
  <cp:lastModifiedBy>عمر ابراهيم محمد كامل بسيونى محمد</cp:lastModifiedBy>
  <dcterms:created xsi:type="dcterms:W3CDTF">2026-07-23T21:56:05Z</dcterms:created>
  <dcterms:modified xsi:type="dcterms:W3CDTF">2026-07-24T01:40:59Z</dcterms:modified>
</cp:coreProperties>
</file>